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code\python\kaggle\data_beauty\vba\002sub_labelnum\"/>
    </mc:Choice>
  </mc:AlternateContent>
  <bookViews>
    <workbookView minimized="1" xWindow="0" yWindow="0" windowWidth="15360" windowHeight="7230" activeTab="2"/>
  </bookViews>
  <sheets>
    <sheet name="06.变量相关性" sheetId="1" r:id="rId1"/>
    <sheet name="Sheet1" sheetId="2" r:id="rId2"/>
    <sheet name="Sheet2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8" i="3" l="1"/>
  <c r="O9" i="3"/>
  <c r="O10" i="3"/>
  <c r="O7" i="3"/>
  <c r="O49" i="2" l="1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48" i="2"/>
  <c r="B32" i="2"/>
  <c r="B33" i="2"/>
  <c r="B34" i="2"/>
  <c r="B31" i="2"/>
  <c r="A34" i="2"/>
  <c r="A33" i="2"/>
  <c r="A32" i="2"/>
  <c r="A31" i="2"/>
</calcChain>
</file>

<file path=xl/sharedStrings.xml><?xml version="1.0" encoding="utf-8"?>
<sst xmlns="http://schemas.openxmlformats.org/spreadsheetml/2006/main" count="367" uniqueCount="242">
  <si>
    <t>ACTUALPAYFINECNT_woe</t>
  </si>
  <si>
    <t>INCM_TIMES_woe</t>
  </si>
  <si>
    <t>CERT_4_INITAL_woe</t>
  </si>
  <si>
    <t>CREDIT_AMOUNT_woe</t>
  </si>
  <si>
    <t>MAX_SEQ_DUEDAYS_woe</t>
  </si>
  <si>
    <t>MEAN</t>
  </si>
  <si>
    <t>STD</t>
  </si>
  <si>
    <t>N</t>
  </si>
  <si>
    <t>CORR</t>
  </si>
  <si>
    <t>flag_tqww_woe</t>
  </si>
  <si>
    <t>kptp_woe</t>
  </si>
  <si>
    <t>max_roll_seq_woe</t>
  </si>
  <si>
    <t>city_woe</t>
  </si>
  <si>
    <t>con1_due_times_woe</t>
  </si>
  <si>
    <t>insure_type_woe</t>
  </si>
  <si>
    <t>person_app_age_woe</t>
  </si>
  <si>
    <t>avg_days_woe</t>
  </si>
  <si>
    <t>family_state_woe</t>
  </si>
  <si>
    <t>is_suixinhuan_woe</t>
  </si>
  <si>
    <t>recent_contact_day_woe</t>
  </si>
  <si>
    <t>app_count_woe</t>
  </si>
  <si>
    <t>rej_count_woe</t>
  </si>
  <si>
    <t>is_ssi_woe</t>
  </si>
  <si>
    <t>person_sex_woe</t>
  </si>
  <si>
    <t>[18,21]</t>
  </si>
  <si>
    <t>(21,25]</t>
  </si>
  <si>
    <t>(25,27]</t>
  </si>
  <si>
    <t>(27,34]</t>
  </si>
  <si>
    <t>(34,55]（默认组）</t>
  </si>
  <si>
    <t>[31,70]</t>
  </si>
  <si>
    <t>(70,821]（默认组）</t>
  </si>
  <si>
    <t>(0,2]</t>
  </si>
  <si>
    <t>(2,7]（默认组）</t>
  </si>
  <si>
    <t>(3000,5700]</t>
  </si>
  <si>
    <t>(5700,7050]</t>
  </si>
  <si>
    <t>(7050,20550]</t>
  </si>
  <si>
    <t>(20550,30000]（默认组）</t>
  </si>
  <si>
    <t>[0,30]</t>
  </si>
  <si>
    <t>(30,60]</t>
  </si>
  <si>
    <t>(60,422]</t>
  </si>
  <si>
    <t>(422,603]（默认组）</t>
  </si>
  <si>
    <t>id</t>
  </si>
  <si>
    <t>TP</t>
  </si>
  <si>
    <t>TN</t>
  </si>
  <si>
    <t>FP</t>
  </si>
  <si>
    <t>FN</t>
  </si>
  <si>
    <t>P</t>
  </si>
  <si>
    <t>Ntotal</t>
  </si>
  <si>
    <t>Accuracy</t>
  </si>
  <si>
    <t>Precision</t>
  </si>
  <si>
    <t>Recall</t>
  </si>
  <si>
    <t>F_value</t>
  </si>
  <si>
    <t>roc</t>
  </si>
  <si>
    <t>ks</t>
  </si>
  <si>
    <t>gini</t>
  </si>
  <si>
    <t>train</t>
  </si>
  <si>
    <t>valid</t>
  </si>
  <si>
    <t>valid_1703</t>
  </si>
  <si>
    <t>valid_1704</t>
  </si>
  <si>
    <t>test</t>
  </si>
  <si>
    <t>test_1705</t>
  </si>
  <si>
    <t>test_1706</t>
  </si>
  <si>
    <t>test_1707</t>
  </si>
  <si>
    <t>if</t>
  </si>
  <si>
    <t>groupnum</t>
  </si>
  <si>
    <t>3;</t>
  </si>
  <si>
    <t>4;</t>
  </si>
  <si>
    <t>5;</t>
  </si>
  <si>
    <t>6;</t>
  </si>
  <si>
    <t>7;</t>
  </si>
  <si>
    <t>8;</t>
  </si>
  <si>
    <t>9;</t>
  </si>
  <si>
    <t>10;</t>
  </si>
  <si>
    <t>11;</t>
  </si>
  <si>
    <t>12;</t>
  </si>
  <si>
    <t>13;</t>
  </si>
  <si>
    <t>14;</t>
  </si>
  <si>
    <t>15;</t>
  </si>
  <si>
    <t>16;</t>
  </si>
  <si>
    <t>17;</t>
  </si>
  <si>
    <t>18;</t>
  </si>
  <si>
    <t>19;</t>
  </si>
  <si>
    <t>20;</t>
  </si>
  <si>
    <t>21;</t>
  </si>
  <si>
    <t>22;</t>
  </si>
  <si>
    <t>23;</t>
  </si>
  <si>
    <t>24;</t>
  </si>
  <si>
    <t>25;</t>
  </si>
  <si>
    <t>26;</t>
  </si>
  <si>
    <t>27;</t>
  </si>
  <si>
    <t>28;</t>
  </si>
  <si>
    <t>29;</t>
  </si>
  <si>
    <t>30;</t>
  </si>
  <si>
    <t>31;</t>
  </si>
  <si>
    <t>32;</t>
  </si>
  <si>
    <t>if groupnum=</t>
    <phoneticPr fontId="2" type="noConversion"/>
  </si>
  <si>
    <t>33;</t>
  </si>
  <si>
    <t>34;</t>
  </si>
  <si>
    <t>35;</t>
  </si>
  <si>
    <t>36;</t>
  </si>
  <si>
    <t>37;</t>
  </si>
  <si>
    <t>38;</t>
  </si>
  <si>
    <t>2;</t>
    <phoneticPr fontId="2" type="noConversion"/>
  </si>
  <si>
    <t>1;</t>
    <phoneticPr fontId="2" type="noConversion"/>
  </si>
  <si>
    <t xml:space="preserve">  then output &amp;Dssin._</t>
    <phoneticPr fontId="2" type="noConversion"/>
  </si>
  <si>
    <t>&amp;Dssin._1</t>
    <phoneticPr fontId="2" type="noConversion"/>
  </si>
  <si>
    <t>&amp;Dssin._2</t>
  </si>
  <si>
    <t>&amp;Dssin._3</t>
  </si>
  <si>
    <t>&amp;Dssin._4</t>
  </si>
  <si>
    <t>&amp;Dssin._5</t>
  </si>
  <si>
    <t>&amp;Dssin._6</t>
  </si>
  <si>
    <t>&amp;Dssin._7</t>
  </si>
  <si>
    <t>&amp;Dssin._8</t>
  </si>
  <si>
    <t>&amp;Dssin._9</t>
  </si>
  <si>
    <t>&amp;Dssin._10</t>
  </si>
  <si>
    <t>&amp;Dssin._11</t>
  </si>
  <si>
    <t>&amp;Dssin._12</t>
  </si>
  <si>
    <t>&amp;Dssin._13</t>
  </si>
  <si>
    <t>&amp;Dssin._14</t>
  </si>
  <si>
    <t>&amp;Dssin._15</t>
  </si>
  <si>
    <t>&amp;Dssin._16</t>
  </si>
  <si>
    <t>&amp;Dssin._17</t>
  </si>
  <si>
    <t>&amp;Dssin._18</t>
  </si>
  <si>
    <t>&amp;Dssin._19</t>
  </si>
  <si>
    <t>&amp;Dssin._20</t>
  </si>
  <si>
    <t>&amp;Dssin._21</t>
  </si>
  <si>
    <t>&amp;Dssin._22</t>
  </si>
  <si>
    <t>&amp;Dssin._23</t>
  </si>
  <si>
    <t>&amp;Dssin._24</t>
  </si>
  <si>
    <t>&amp;Dssin._25</t>
  </si>
  <si>
    <t>&amp;Dssin._26</t>
  </si>
  <si>
    <t>&amp;Dssin._27</t>
  </si>
  <si>
    <t>&amp;Dssin._28</t>
  </si>
  <si>
    <t>&amp;Dssin._29</t>
  </si>
  <si>
    <t>&amp;Dssin._30</t>
  </si>
  <si>
    <t>&amp;Dssin._31</t>
  </si>
  <si>
    <t>&amp;Dssin._32</t>
  </si>
  <si>
    <t>%let id=1</t>
    <phoneticPr fontId="2" type="noConversion"/>
  </si>
  <si>
    <t>;%let DSin=lf.a1201_allscored_&amp;id.;%let ProbVar=pred_target;%let DVVar=target;%let cutoff=0.5;%let dscm=lf.a1201_confMat_&amp;id.;%GroupStat(&amp;DSin, &amp;ProbVar, &amp;DVVar, &amp;Cutoff, &amp;DSCM);</t>
  </si>
  <si>
    <t>%let id=2</t>
  </si>
  <si>
    <t>%let id=3</t>
  </si>
  <si>
    <t>%let id=4</t>
  </si>
  <si>
    <t>%let id=5</t>
  </si>
  <si>
    <t>%let id=6</t>
  </si>
  <si>
    <t>%let id=7</t>
  </si>
  <si>
    <t>%let id=8</t>
  </si>
  <si>
    <t>%let id=9</t>
  </si>
  <si>
    <t>%let id=10</t>
  </si>
  <si>
    <t>%let id=11</t>
  </si>
  <si>
    <t>%let id=12</t>
  </si>
  <si>
    <t>%let id=13</t>
  </si>
  <si>
    <t>%let id=14</t>
  </si>
  <si>
    <t>%let id=15</t>
  </si>
  <si>
    <t>%let id=16</t>
  </si>
  <si>
    <t>%let id=17</t>
  </si>
  <si>
    <t>%let id=18</t>
  </si>
  <si>
    <t>%let id=19</t>
  </si>
  <si>
    <t>%let id=20</t>
  </si>
  <si>
    <t>%let id=21</t>
  </si>
  <si>
    <t>%let id=22</t>
  </si>
  <si>
    <t>%let id=23</t>
  </si>
  <si>
    <t>%let id=24</t>
  </si>
  <si>
    <t>%let id=25</t>
  </si>
  <si>
    <t>%let id=26</t>
  </si>
  <si>
    <t>%let id=27</t>
  </si>
  <si>
    <t>%let id=28</t>
  </si>
  <si>
    <t>%let id=29</t>
  </si>
  <si>
    <t>%let id=30</t>
  </si>
  <si>
    <t>%let id=31</t>
  </si>
  <si>
    <t>lf.a1201_confMat_1</t>
    <phoneticPr fontId="2" type="noConversion"/>
  </si>
  <si>
    <t>lf.a1201_confMat_2</t>
  </si>
  <si>
    <t>lf.a1201_confMat_3</t>
  </si>
  <si>
    <t>lf.a1201_confMat_4</t>
  </si>
  <si>
    <t>lf.a1201_confMat_5</t>
  </si>
  <si>
    <t>lf.a1201_confMat_6</t>
  </si>
  <si>
    <t>lf.a1201_confMat_7</t>
  </si>
  <si>
    <t>lf.a1201_confMat_8</t>
  </si>
  <si>
    <t>lf.a1201_confMat_9</t>
  </si>
  <si>
    <t>lf.a1201_confMat_10</t>
  </si>
  <si>
    <t>lf.a1201_confMat_11</t>
  </si>
  <si>
    <t>lf.a1201_confMat_12</t>
  </si>
  <si>
    <t>lf.a1201_confMat_13</t>
  </si>
  <si>
    <t>lf.a1201_confMat_14</t>
  </si>
  <si>
    <t>lf.a1201_confMat_15</t>
  </si>
  <si>
    <t>lf.a1201_confMat_16</t>
  </si>
  <si>
    <t>lf.a1201_confMat_17</t>
  </si>
  <si>
    <t>lf.a1201_confMat_18</t>
  </si>
  <si>
    <t>lf.a1201_confMat_19</t>
  </si>
  <si>
    <t>lf.a1201_confMat_20</t>
  </si>
  <si>
    <t>lf.a1201_confMat_21</t>
  </si>
  <si>
    <t>lf.a1201_confMat_22</t>
  </si>
  <si>
    <t>lf.a1201_confMat_23</t>
  </si>
  <si>
    <t>lf.a1201_confMat_24</t>
  </si>
  <si>
    <t>lf.a1201_confMat_25</t>
  </si>
  <si>
    <t>lf.a1201_confMat_26</t>
  </si>
  <si>
    <t>lf.a1201_confMat_27</t>
  </si>
  <si>
    <t>lf.a1201_confMat_28</t>
  </si>
  <si>
    <t>lf.a1201_confMat_29</t>
  </si>
  <si>
    <t>lf.a1201_confMat_30</t>
  </si>
  <si>
    <t>lf.a1201_confMat_31</t>
  </si>
  <si>
    <t>lf.a1201_confMat_32</t>
  </si>
  <si>
    <t>lf.a1201_confMat_33</t>
  </si>
  <si>
    <t>lf.a1201_confMat_34</t>
  </si>
  <si>
    <t>lf.a1201_confMat_35</t>
  </si>
  <si>
    <t>lf.a1201_confMat_36</t>
  </si>
  <si>
    <t>lf.a1201_confMat_37</t>
  </si>
  <si>
    <t>lf.a1201_confMat_38</t>
  </si>
  <si>
    <t>lf.a1201_confMat_39</t>
  </si>
  <si>
    <t>lf.a1201_confMat_40</t>
  </si>
  <si>
    <t>lf.a1201_confMat_41</t>
  </si>
  <si>
    <t>lf.a1201_confMat_42</t>
  </si>
  <si>
    <t>lf.a1201_confMat_43</t>
  </si>
  <si>
    <t>lf.a1201_confMat_44</t>
  </si>
  <si>
    <t>lf.a1201_confMat_45</t>
  </si>
  <si>
    <t>lf.a1201_confMat_46</t>
  </si>
  <si>
    <t>lf.a1201_confMat_47</t>
  </si>
  <si>
    <t>lf.a1201_confMat_48</t>
  </si>
  <si>
    <t>lf.a1201_confMat_49</t>
  </si>
  <si>
    <t>lf.a1201_confMat_50</t>
  </si>
  <si>
    <t>lf.a1201_confMat_51</t>
  </si>
  <si>
    <t>lf.a1201_confMat_52</t>
  </si>
  <si>
    <t>lf.a1201_confMat_53</t>
  </si>
  <si>
    <t>lf.a1201_confMat_54</t>
  </si>
  <si>
    <t>lf.a1201_confMat_55</t>
  </si>
  <si>
    <t>lf.a1201_confMat_56</t>
  </si>
  <si>
    <t>lf.a1201_confMat_57</t>
  </si>
  <si>
    <t>lf.a1201_confMat_58</t>
  </si>
  <si>
    <t>lf.a1201_confMat_59</t>
  </si>
  <si>
    <t>lf.a1201_confMat_60</t>
  </si>
  <si>
    <t>lf.a1201_confMat_61</t>
  </si>
  <si>
    <t>;%let DSin=lf.a1201_allscored_&amp;id.;%let ProbVar=pred_target;%let DVVar=target;%let cutoff=0.5;%let dscm=lf.a1200_confMat_&amp;id.;%GroupStat(&amp;DSin, &amp;ProbVar, &amp;DVVar, &amp;Cutoff, &amp;DSCM);</t>
  </si>
  <si>
    <t>[0,1]</t>
  </si>
  <si>
    <t>(1,5]</t>
  </si>
  <si>
    <t>(5,10]</t>
  </si>
  <si>
    <t>(10,603]</t>
  </si>
  <si>
    <t>(7050,30000]</t>
  </si>
  <si>
    <t>(0,7]</t>
  </si>
  <si>
    <t>rpy_cn_b2</t>
  </si>
  <si>
    <t>total</t>
  </si>
  <si>
    <t>good</t>
  </si>
  <si>
    <t>bad</t>
  </si>
  <si>
    <t>badrate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</si>
</sst>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80" formatCode="0.00_ "/>
    <numFmt numFmtId="186" formatCode="0.0000"/>
  </numFmts>
  <fonts count="22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2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4">
    <xf numFmtId="0" fontId="0" fillId="0" borderId="0"/>
    <xf numFmtId="9" fontId="3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9" applyNumberFormat="0" applyFill="0" applyAlignment="0" applyProtection="0">
      <alignment vertical="center"/>
    </xf>
    <xf numFmtId="0" fontId="6" fillId="0" borderId="10" applyNumberFormat="0" applyFill="0" applyAlignment="0" applyProtection="0">
      <alignment vertical="center"/>
    </xf>
    <xf numFmtId="0" fontId="7" fillId="0" borderId="11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1" fillId="5" borderId="12" applyNumberFormat="0" applyAlignment="0" applyProtection="0">
      <alignment vertical="center"/>
    </xf>
    <xf numFmtId="0" fontId="12" fillId="6" borderId="13" applyNumberFormat="0" applyAlignment="0" applyProtection="0">
      <alignment vertical="center"/>
    </xf>
    <xf numFmtId="0" fontId="13" fillId="6" borderId="12" applyNumberFormat="0" applyAlignment="0" applyProtection="0">
      <alignment vertical="center"/>
    </xf>
    <xf numFmtId="0" fontId="14" fillId="0" borderId="14" applyNumberFormat="0" applyFill="0" applyAlignment="0" applyProtection="0">
      <alignment vertical="center"/>
    </xf>
    <xf numFmtId="0" fontId="15" fillId="7" borderId="15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7" applyNumberFormat="0" applyFill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16" applyNumberFormat="0" applyFont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16" applyNumberFormat="0" applyFont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16" applyNumberFormat="0" applyFont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16" applyNumberFormat="0" applyFont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11" fontId="0" fillId="0" borderId="0" xfId="0" applyNumberForma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1" fontId="0" fillId="0" borderId="2" xfId="0" applyNumberFormat="1" applyBorder="1"/>
    <xf numFmtId="0" fontId="20" fillId="0" borderId="18" xfId="0" applyFont="1" applyBorder="1" applyAlignment="1">
      <alignment horizontal="center" wrapText="1" readingOrder="1"/>
    </xf>
    <xf numFmtId="10" fontId="20" fillId="0" borderId="18" xfId="0" applyNumberFormat="1" applyFont="1" applyBorder="1" applyAlignment="1">
      <alignment horizontal="center" wrapText="1" readingOrder="1"/>
    </xf>
    <xf numFmtId="180" fontId="0" fillId="0" borderId="0" xfId="0" applyNumberFormat="1"/>
    <xf numFmtId="0" fontId="21" fillId="0" borderId="19" xfId="0" applyFont="1" applyBorder="1" applyAlignment="1">
      <alignment horizontal="center"/>
    </xf>
    <xf numFmtId="10" fontId="21" fillId="0" borderId="19" xfId="1" applyNumberFormat="1" applyFont="1" applyBorder="1" applyAlignment="1">
      <alignment horizontal="center"/>
    </xf>
    <xf numFmtId="186" fontId="21" fillId="0" borderId="19" xfId="0" applyNumberFormat="1" applyFont="1" applyBorder="1" applyAlignment="1">
      <alignment horizontal="center"/>
    </xf>
    <xf numFmtId="0" fontId="21" fillId="0" borderId="19" xfId="0" applyFont="1" applyBorder="1" applyAlignment="1">
      <alignment horizontal="center"/>
    </xf>
    <xf numFmtId="10" fontId="21" fillId="0" borderId="19" xfId="1" applyNumberFormat="1" applyFont="1" applyBorder="1" applyAlignment="1">
      <alignment horizontal="center"/>
    </xf>
    <xf numFmtId="186" fontId="21" fillId="0" borderId="19" xfId="0" applyNumberFormat="1" applyFont="1" applyBorder="1" applyAlignment="1">
      <alignment horizontal="center"/>
    </xf>
    <xf numFmtId="0" fontId="0" fillId="0" borderId="0" xfId="0"/>
    <xf numFmtId="0" fontId="21" fillId="0" borderId="19" xfId="0" applyFont="1" applyBorder="1" applyAlignment="1">
      <alignment horizontal="center"/>
    </xf>
    <xf numFmtId="10" fontId="21" fillId="0" borderId="19" xfId="1" applyNumberFormat="1" applyFont="1" applyBorder="1" applyAlignment="1">
      <alignment horizontal="center"/>
    </xf>
    <xf numFmtId="186" fontId="21" fillId="0" borderId="19" xfId="0" applyNumberFormat="1" applyFont="1" applyBorder="1" applyAlignment="1">
      <alignment horizontal="center"/>
    </xf>
  </cellXfs>
  <cellStyles count="94">
    <cellStyle name="20% - 着色 1" xfId="19" builtinId="30" customBuiltin="1"/>
    <cellStyle name="20% - 着色 1 2" xfId="45"/>
    <cellStyle name="20% - 着色 1 2 2" xfId="76"/>
    <cellStyle name="20% - 着色 1 3" xfId="61"/>
    <cellStyle name="20% - 着色 2" xfId="23" builtinId="34" customBuiltin="1"/>
    <cellStyle name="20% - 着色 2 2" xfId="47"/>
    <cellStyle name="20% - 着色 2 2 2" xfId="78"/>
    <cellStyle name="20% - 着色 2 3" xfId="63"/>
    <cellStyle name="20% - 着色 3" xfId="27" builtinId="38" customBuiltin="1"/>
    <cellStyle name="20% - 着色 3 2" xfId="49"/>
    <cellStyle name="20% - 着色 3 2 2" xfId="80"/>
    <cellStyle name="20% - 着色 3 3" xfId="65"/>
    <cellStyle name="20% - 着色 4" xfId="31" builtinId="42" customBuiltin="1"/>
    <cellStyle name="20% - 着色 4 2" xfId="51"/>
    <cellStyle name="20% - 着色 4 2 2" xfId="82"/>
    <cellStyle name="20% - 着色 4 3" xfId="67"/>
    <cellStyle name="20% - 着色 5" xfId="35" builtinId="46" customBuiltin="1"/>
    <cellStyle name="20% - 着色 5 2" xfId="53"/>
    <cellStyle name="20% - 着色 5 2 2" xfId="84"/>
    <cellStyle name="20% - 着色 5 3" xfId="69"/>
    <cellStyle name="20% - 着色 6" xfId="39" builtinId="50" customBuiltin="1"/>
    <cellStyle name="20% - 着色 6 2" xfId="55"/>
    <cellStyle name="20% - 着色 6 2 2" xfId="86"/>
    <cellStyle name="20% - 着色 6 3" xfId="71"/>
    <cellStyle name="40% - 着色 1" xfId="20" builtinId="31" customBuiltin="1"/>
    <cellStyle name="40% - 着色 1 2" xfId="46"/>
    <cellStyle name="40% - 着色 1 2 2" xfId="77"/>
    <cellStyle name="40% - 着色 1 3" xfId="62"/>
    <cellStyle name="40% - 着色 2" xfId="24" builtinId="35" customBuiltin="1"/>
    <cellStyle name="40% - 着色 2 2" xfId="48"/>
    <cellStyle name="40% - 着色 2 2 2" xfId="79"/>
    <cellStyle name="40% - 着色 2 3" xfId="64"/>
    <cellStyle name="40% - 着色 3" xfId="28" builtinId="39" customBuiltin="1"/>
    <cellStyle name="40% - 着色 3 2" xfId="50"/>
    <cellStyle name="40% - 着色 3 2 2" xfId="81"/>
    <cellStyle name="40% - 着色 3 3" xfId="66"/>
    <cellStyle name="40% - 着色 4" xfId="32" builtinId="43" customBuiltin="1"/>
    <cellStyle name="40% - 着色 4 2" xfId="52"/>
    <cellStyle name="40% - 着色 4 2 2" xfId="83"/>
    <cellStyle name="40% - 着色 4 3" xfId="68"/>
    <cellStyle name="40% - 着色 5" xfId="36" builtinId="47" customBuiltin="1"/>
    <cellStyle name="40% - 着色 5 2" xfId="54"/>
    <cellStyle name="40% - 着色 5 2 2" xfId="85"/>
    <cellStyle name="40% - 着色 5 3" xfId="70"/>
    <cellStyle name="40% - 着色 6" xfId="40" builtinId="51" customBuiltin="1"/>
    <cellStyle name="40% - 着色 6 2" xfId="56"/>
    <cellStyle name="40% - 着色 6 2 2" xfId="87"/>
    <cellStyle name="40% - 着色 6 3" xfId="72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百分比" xfId="1" builtinId="5"/>
    <cellStyle name="百分比 2" xfId="44"/>
    <cellStyle name="百分比 2 2" xfId="59"/>
    <cellStyle name="百分比 2 2 2" xfId="90"/>
    <cellStyle name="百分比 2 3" xfId="75"/>
    <cellStyle name="百分比 3" xfId="93"/>
    <cellStyle name="标题" xfId="2" builtinId="15" customBuiltin="1"/>
    <cellStyle name="标题 1" xfId="3" builtinId="16" customBuiltin="1"/>
    <cellStyle name="标题 2" xfId="4" builtinId="17" customBuiltin="1"/>
    <cellStyle name="标题 3" xfId="5" builtinId="18" customBuiltin="1"/>
    <cellStyle name="标题 4" xfId="6" builtinId="19" customBuiltin="1"/>
    <cellStyle name="差" xfId="8" builtinId="27" customBuiltin="1"/>
    <cellStyle name="常规" xfId="0" builtinId="0"/>
    <cellStyle name="常规 2" xfId="42"/>
    <cellStyle name="常规 2 2" xfId="57"/>
    <cellStyle name="常规 2 2 2" xfId="88"/>
    <cellStyle name="常规 2 3" xfId="73"/>
    <cellStyle name="常规 3" xfId="60"/>
    <cellStyle name="常规 3 2" xfId="91"/>
    <cellStyle name="常规 4" xfId="92"/>
    <cellStyle name="好" xfId="7" builtinId="26" customBuiltin="1"/>
    <cellStyle name="汇总" xfId="17" builtinId="25" customBuiltin="1"/>
    <cellStyle name="计算" xfId="12" builtinId="22" customBuiltin="1"/>
    <cellStyle name="检查单元格" xfId="14" builtinId="23" customBuiltin="1"/>
    <cellStyle name="解释性文本" xfId="16" builtinId="53" customBuiltin="1"/>
    <cellStyle name="警告文本" xfId="15" builtinId="11" customBuiltin="1"/>
    <cellStyle name="链接单元格" xfId="13" builtinId="24" customBuiltin="1"/>
    <cellStyle name="适中" xfId="9" builtinId="28" customBuiltin="1"/>
    <cellStyle name="输出" xfId="11" builtinId="21" customBuiltin="1"/>
    <cellStyle name="输入" xfId="10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 2" xfId="43"/>
    <cellStyle name="注释 2 2" xfId="58"/>
    <cellStyle name="注释 2 2 2" xfId="89"/>
    <cellStyle name="注释 2 3" xfId="7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K116"/>
  <sheetViews>
    <sheetView showGridLines="0" topLeftCell="E1" workbookViewId="0">
      <selection activeCell="C4" sqref="C4:V23"/>
    </sheetView>
  </sheetViews>
  <sheetFormatPr defaultRowHeight="13.5" x14ac:dyDescent="0.15"/>
  <cols>
    <col min="1" max="1" width="9" style="4"/>
    <col min="2" max="16384" width="9" style="5"/>
  </cols>
  <sheetData>
    <row r="1" spans="1:115" s="2" customFormat="1" x14ac:dyDescent="0.15">
      <c r="A1" s="1" t="s">
        <v>5</v>
      </c>
      <c r="B1" s="2">
        <v>0</v>
      </c>
      <c r="C1" s="2">
        <v>0.23594514300000002</v>
      </c>
      <c r="D1" s="2">
        <v>0.149109926</v>
      </c>
      <c r="E1" s="2">
        <v>4.8046382999999998E-2</v>
      </c>
      <c r="F1" s="2">
        <v>7.8721355999999992E-2</v>
      </c>
      <c r="G1" s="2">
        <v>5.4245506000000006E-2</v>
      </c>
      <c r="H1" s="2">
        <v>5.2101958999999996E-2</v>
      </c>
      <c r="I1" s="2">
        <v>4.8915903999999996E-2</v>
      </c>
      <c r="J1" s="2">
        <v>3.5403322000000001E-2</v>
      </c>
      <c r="K1" s="2">
        <v>3.8913578000000004E-2</v>
      </c>
      <c r="L1" s="2">
        <v>4.1452195999999997E-2</v>
      </c>
      <c r="M1" s="2">
        <v>2.4212575E-2</v>
      </c>
      <c r="N1" s="2">
        <v>1.8416076E-2</v>
      </c>
      <c r="O1" s="2">
        <v>1.2276107000000001E-2</v>
      </c>
      <c r="P1" s="2">
        <v>1.2609928999999999E-2</v>
      </c>
      <c r="Q1" s="2">
        <v>8.1960390000000004E-3</v>
      </c>
      <c r="R1" s="2">
        <v>2.3297439230000001</v>
      </c>
      <c r="S1" s="2">
        <v>3.8852539999999999E-3</v>
      </c>
      <c r="T1" s="2">
        <v>2.7790030000000004E-3</v>
      </c>
      <c r="U1" s="2">
        <v>2.9130879999999999E-3</v>
      </c>
      <c r="V1" s="2">
        <v>3.5294199999999997E-4</v>
      </c>
      <c r="W1" s="2">
        <v>0</v>
      </c>
      <c r="X1" s="2">
        <v>0</v>
      </c>
      <c r="Y1" s="2">
        <v>0</v>
      </c>
      <c r="Z1" s="2">
        <v>0</v>
      </c>
      <c r="AA1" s="2">
        <v>0</v>
      </c>
      <c r="AB1" s="2">
        <v>0</v>
      </c>
      <c r="AC1" s="2">
        <v>0</v>
      </c>
      <c r="AD1" s="2">
        <v>0</v>
      </c>
      <c r="AE1" s="2">
        <v>0</v>
      </c>
      <c r="AF1" s="2">
        <v>0</v>
      </c>
      <c r="AG1" s="2">
        <v>0</v>
      </c>
      <c r="AH1" s="2">
        <v>0</v>
      </c>
      <c r="AI1" s="2">
        <v>0</v>
      </c>
      <c r="AJ1" s="2">
        <v>0</v>
      </c>
      <c r="AK1" s="2">
        <v>0</v>
      </c>
      <c r="AL1" s="2">
        <v>0</v>
      </c>
      <c r="AM1" s="2">
        <v>0</v>
      </c>
      <c r="AN1" s="2">
        <v>0</v>
      </c>
      <c r="AO1" s="2">
        <v>0</v>
      </c>
      <c r="AP1" s="2">
        <v>0</v>
      </c>
      <c r="AQ1" s="2">
        <v>0</v>
      </c>
      <c r="AR1" s="2">
        <v>0</v>
      </c>
      <c r="AS1" s="2">
        <v>0</v>
      </c>
      <c r="AT1" s="2">
        <v>0</v>
      </c>
      <c r="AU1" s="2">
        <v>0</v>
      </c>
      <c r="AV1" s="2">
        <v>0</v>
      </c>
      <c r="AW1" s="2">
        <v>0</v>
      </c>
      <c r="AX1" s="2">
        <v>0</v>
      </c>
      <c r="AY1" s="2">
        <v>0</v>
      </c>
      <c r="AZ1" s="2">
        <v>0</v>
      </c>
      <c r="BA1" s="2">
        <v>0</v>
      </c>
      <c r="BB1" s="2">
        <v>0</v>
      </c>
      <c r="BC1" s="2">
        <v>0</v>
      </c>
      <c r="BD1" s="2">
        <v>0</v>
      </c>
      <c r="BE1" s="2">
        <v>0</v>
      </c>
      <c r="BF1" s="2">
        <v>0</v>
      </c>
      <c r="BG1" s="2">
        <v>0</v>
      </c>
      <c r="BH1" s="2">
        <v>0</v>
      </c>
      <c r="BI1" s="2">
        <v>0</v>
      </c>
      <c r="BJ1" s="2">
        <v>0</v>
      </c>
      <c r="BK1" s="2">
        <v>0</v>
      </c>
      <c r="BL1" s="2">
        <v>0</v>
      </c>
      <c r="BM1" s="2">
        <v>0</v>
      </c>
      <c r="BN1" s="2">
        <v>0</v>
      </c>
      <c r="BO1" s="2">
        <v>0</v>
      </c>
      <c r="BP1" s="2">
        <v>0</v>
      </c>
      <c r="BQ1" s="2">
        <v>0</v>
      </c>
      <c r="BR1" s="2">
        <v>0</v>
      </c>
      <c r="BS1" s="2">
        <v>0</v>
      </c>
      <c r="BT1" s="2">
        <v>0</v>
      </c>
      <c r="BU1" s="2">
        <v>0</v>
      </c>
      <c r="BV1" s="2">
        <v>0</v>
      </c>
      <c r="BW1" s="2">
        <v>0</v>
      </c>
      <c r="BX1" s="2">
        <v>0</v>
      </c>
      <c r="BY1" s="2">
        <v>0</v>
      </c>
      <c r="BZ1" s="2">
        <v>0</v>
      </c>
      <c r="CA1" s="2">
        <v>0</v>
      </c>
      <c r="CB1" s="2">
        <v>0</v>
      </c>
      <c r="CC1" s="2">
        <v>0</v>
      </c>
      <c r="CD1" s="2">
        <v>0</v>
      </c>
      <c r="CE1" s="2">
        <v>0</v>
      </c>
      <c r="CF1" s="2">
        <v>0</v>
      </c>
      <c r="CG1" s="2">
        <v>0</v>
      </c>
      <c r="CH1" s="2">
        <v>0</v>
      </c>
      <c r="CI1" s="2">
        <v>0</v>
      </c>
      <c r="CJ1" s="2">
        <v>0</v>
      </c>
      <c r="CK1" s="2">
        <v>0</v>
      </c>
      <c r="CL1" s="2">
        <v>0</v>
      </c>
      <c r="CM1" s="2">
        <v>0</v>
      </c>
      <c r="CN1" s="2">
        <v>0</v>
      </c>
      <c r="CO1" s="2">
        <v>0</v>
      </c>
      <c r="CP1" s="2">
        <v>0</v>
      </c>
      <c r="CQ1" s="2">
        <v>0</v>
      </c>
      <c r="CR1" s="2">
        <v>0</v>
      </c>
      <c r="CS1" s="2">
        <v>0</v>
      </c>
      <c r="CT1" s="2">
        <v>0</v>
      </c>
      <c r="CU1" s="2">
        <v>0</v>
      </c>
      <c r="CV1" s="2">
        <v>0</v>
      </c>
      <c r="CW1" s="2">
        <v>0</v>
      </c>
      <c r="CX1" s="2">
        <v>0</v>
      </c>
      <c r="CY1" s="2">
        <v>0</v>
      </c>
      <c r="CZ1" s="2">
        <v>0</v>
      </c>
      <c r="DA1" s="2">
        <v>0</v>
      </c>
      <c r="DB1" s="2">
        <v>0</v>
      </c>
      <c r="DC1" s="2">
        <v>0</v>
      </c>
      <c r="DD1" s="2">
        <v>0</v>
      </c>
      <c r="DE1" s="2">
        <v>0</v>
      </c>
      <c r="DF1" s="2">
        <v>0</v>
      </c>
      <c r="DG1" s="2">
        <v>0</v>
      </c>
      <c r="DH1" s="11">
        <v>0</v>
      </c>
      <c r="DI1" s="2">
        <v>0</v>
      </c>
      <c r="DJ1" s="2">
        <v>0</v>
      </c>
      <c r="DK1" s="3">
        <v>0</v>
      </c>
    </row>
    <row r="2" spans="1:115" x14ac:dyDescent="0.15">
      <c r="A2" s="4" t="s">
        <v>6</v>
      </c>
      <c r="B2" s="5">
        <v>0</v>
      </c>
      <c r="C2" s="5">
        <v>4.2491302600000003</v>
      </c>
      <c r="D2" s="5">
        <v>3.3644786199999999</v>
      </c>
      <c r="E2" s="5">
        <v>2.2567013739999999</v>
      </c>
      <c r="F2" s="5">
        <v>2.2625863809999998</v>
      </c>
      <c r="G2" s="5">
        <v>1.9824145120000001</v>
      </c>
      <c r="H2" s="5">
        <v>1.9344395000000001</v>
      </c>
      <c r="I2" s="5">
        <v>1.8072311660000002</v>
      </c>
      <c r="J2" s="5">
        <v>1.6370177720000001</v>
      </c>
      <c r="K2" s="5">
        <v>1.6559629470000001</v>
      </c>
      <c r="L2" s="5">
        <v>1.6579160500000001</v>
      </c>
      <c r="M2" s="5">
        <v>1.3526829339999999</v>
      </c>
      <c r="N2" s="5">
        <v>1.1269719709999999</v>
      </c>
      <c r="O2" s="5">
        <v>0.94593993599999993</v>
      </c>
      <c r="P2" s="5">
        <v>0.88824389500000001</v>
      </c>
      <c r="Q2" s="5">
        <v>0.74953423500000005</v>
      </c>
      <c r="R2" s="5">
        <v>7.004395787</v>
      </c>
      <c r="S2" s="5">
        <v>0.55192594100000003</v>
      </c>
      <c r="T2" s="5">
        <v>0.46054845700000002</v>
      </c>
      <c r="U2" s="5">
        <v>0.44827197099999999</v>
      </c>
      <c r="V2" s="5">
        <v>0.16268315500000002</v>
      </c>
      <c r="W2" s="5">
        <v>0</v>
      </c>
      <c r="X2" s="5">
        <v>0</v>
      </c>
      <c r="Y2" s="5">
        <v>0</v>
      </c>
      <c r="Z2" s="5">
        <v>0</v>
      </c>
      <c r="AA2" s="5">
        <v>0</v>
      </c>
      <c r="AB2" s="5">
        <v>0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0</v>
      </c>
      <c r="AI2" s="5">
        <v>0</v>
      </c>
      <c r="AJ2" s="5">
        <v>0</v>
      </c>
      <c r="AK2" s="5">
        <v>0</v>
      </c>
      <c r="AL2" s="5">
        <v>0</v>
      </c>
      <c r="AM2" s="5">
        <v>0</v>
      </c>
      <c r="AN2" s="5">
        <v>0</v>
      </c>
      <c r="AO2" s="5">
        <v>0</v>
      </c>
      <c r="AP2" s="5">
        <v>0</v>
      </c>
      <c r="AQ2" s="5">
        <v>0</v>
      </c>
      <c r="AR2" s="5">
        <v>0</v>
      </c>
      <c r="AS2" s="5">
        <v>0</v>
      </c>
      <c r="AT2" s="5">
        <v>0</v>
      </c>
      <c r="AU2" s="5">
        <v>0</v>
      </c>
      <c r="AV2" s="5">
        <v>0</v>
      </c>
      <c r="AW2" s="5">
        <v>0</v>
      </c>
      <c r="AX2" s="5">
        <v>0</v>
      </c>
      <c r="AY2" s="5">
        <v>0</v>
      </c>
      <c r="AZ2" s="5">
        <v>0</v>
      </c>
      <c r="BA2" s="5">
        <v>0</v>
      </c>
      <c r="BB2" s="5">
        <v>0</v>
      </c>
      <c r="BC2" s="5">
        <v>0</v>
      </c>
      <c r="BD2" s="5">
        <v>0</v>
      </c>
      <c r="BE2" s="5">
        <v>0</v>
      </c>
      <c r="BF2" s="5">
        <v>0</v>
      </c>
      <c r="BG2" s="5">
        <v>0</v>
      </c>
      <c r="BH2" s="5">
        <v>0</v>
      </c>
      <c r="BI2" s="5">
        <v>0</v>
      </c>
      <c r="BJ2" s="5">
        <v>0</v>
      </c>
      <c r="BK2" s="5">
        <v>0</v>
      </c>
      <c r="BL2" s="5">
        <v>0</v>
      </c>
      <c r="BM2" s="5">
        <v>0</v>
      </c>
      <c r="BN2" s="5">
        <v>0</v>
      </c>
      <c r="BO2" s="5">
        <v>0</v>
      </c>
      <c r="BP2" s="5">
        <v>0</v>
      </c>
      <c r="BQ2" s="5">
        <v>0</v>
      </c>
      <c r="BR2" s="5">
        <v>0</v>
      </c>
      <c r="BS2" s="5">
        <v>0</v>
      </c>
      <c r="BT2" s="5">
        <v>0</v>
      </c>
      <c r="BU2" s="5">
        <v>0</v>
      </c>
      <c r="BV2" s="5">
        <v>0</v>
      </c>
      <c r="BW2" s="5">
        <v>0</v>
      </c>
      <c r="BX2" s="5">
        <v>0</v>
      </c>
      <c r="BY2" s="5">
        <v>0</v>
      </c>
      <c r="BZ2" s="5">
        <v>0</v>
      </c>
      <c r="CA2" s="5">
        <v>0</v>
      </c>
      <c r="CB2" s="5">
        <v>0</v>
      </c>
      <c r="CC2" s="5">
        <v>0</v>
      </c>
      <c r="CD2" s="5">
        <v>0</v>
      </c>
      <c r="CE2" s="5">
        <v>0</v>
      </c>
      <c r="CF2" s="5">
        <v>0</v>
      </c>
      <c r="CG2" s="5">
        <v>0</v>
      </c>
      <c r="CH2" s="5">
        <v>0</v>
      </c>
      <c r="CI2" s="5">
        <v>0</v>
      </c>
      <c r="CJ2" s="5">
        <v>0</v>
      </c>
      <c r="CK2" s="5">
        <v>0</v>
      </c>
      <c r="CL2" s="5">
        <v>0</v>
      </c>
      <c r="CM2" s="5">
        <v>0</v>
      </c>
      <c r="CN2" s="5">
        <v>0</v>
      </c>
      <c r="CO2" s="5">
        <v>0</v>
      </c>
      <c r="CP2" s="5">
        <v>0</v>
      </c>
      <c r="CQ2" s="5">
        <v>0</v>
      </c>
      <c r="CR2" s="5">
        <v>0</v>
      </c>
      <c r="CS2" s="5">
        <v>0</v>
      </c>
      <c r="CT2" s="5">
        <v>0</v>
      </c>
      <c r="CU2" s="5">
        <v>0</v>
      </c>
      <c r="CV2" s="5">
        <v>0</v>
      </c>
      <c r="CW2" s="5">
        <v>0</v>
      </c>
      <c r="CX2" s="5">
        <v>0</v>
      </c>
      <c r="CY2" s="5">
        <v>0</v>
      </c>
      <c r="CZ2" s="5">
        <v>0</v>
      </c>
      <c r="DA2" s="5">
        <v>0</v>
      </c>
      <c r="DB2" s="5">
        <v>0</v>
      </c>
      <c r="DC2" s="5">
        <v>0</v>
      </c>
      <c r="DD2" s="5">
        <v>0</v>
      </c>
      <c r="DE2" s="5">
        <v>0</v>
      </c>
      <c r="DF2" s="5">
        <v>0</v>
      </c>
      <c r="DG2" s="5">
        <v>0</v>
      </c>
      <c r="DH2" s="7">
        <v>0</v>
      </c>
      <c r="DI2" s="5">
        <v>0</v>
      </c>
      <c r="DJ2" s="5">
        <v>0</v>
      </c>
      <c r="DK2" s="6">
        <v>0</v>
      </c>
    </row>
    <row r="3" spans="1:115" x14ac:dyDescent="0.15">
      <c r="A3" s="4" t="s">
        <v>7</v>
      </c>
      <c r="B3" s="5">
        <v>0</v>
      </c>
      <c r="C3" s="5">
        <v>1156730</v>
      </c>
      <c r="D3" s="5">
        <v>1156730</v>
      </c>
      <c r="E3" s="5">
        <v>1156730</v>
      </c>
      <c r="F3" s="5">
        <v>1156730</v>
      </c>
      <c r="G3" s="5">
        <v>1156730</v>
      </c>
      <c r="H3" s="5">
        <v>1156730</v>
      </c>
      <c r="I3" s="5">
        <v>1156730</v>
      </c>
      <c r="J3" s="5">
        <v>1156730</v>
      </c>
      <c r="K3" s="5">
        <v>1156730</v>
      </c>
      <c r="L3" s="5">
        <v>1156730</v>
      </c>
      <c r="M3" s="5">
        <v>1156730</v>
      </c>
      <c r="N3" s="5">
        <v>1156730</v>
      </c>
      <c r="O3" s="5">
        <v>1156730</v>
      </c>
      <c r="P3" s="5">
        <v>1156730</v>
      </c>
      <c r="Q3" s="5">
        <v>1156730</v>
      </c>
      <c r="R3" s="5">
        <v>1156730</v>
      </c>
      <c r="S3" s="5">
        <v>1156730</v>
      </c>
      <c r="T3" s="5">
        <v>1156730</v>
      </c>
      <c r="U3" s="5">
        <v>1156730</v>
      </c>
      <c r="V3" s="5">
        <v>1156730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0</v>
      </c>
      <c r="AI3" s="5">
        <v>0</v>
      </c>
      <c r="AJ3" s="5">
        <v>0</v>
      </c>
      <c r="AK3" s="5">
        <v>0</v>
      </c>
      <c r="AL3" s="5">
        <v>0</v>
      </c>
      <c r="AM3" s="5">
        <v>0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0</v>
      </c>
      <c r="BA3" s="5">
        <v>0</v>
      </c>
      <c r="BB3" s="5">
        <v>0</v>
      </c>
      <c r="BC3" s="5">
        <v>0</v>
      </c>
      <c r="BD3" s="5">
        <v>0</v>
      </c>
      <c r="BE3" s="5">
        <v>0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5">
        <v>0</v>
      </c>
      <c r="BM3" s="5">
        <v>0</v>
      </c>
      <c r="BN3" s="5">
        <v>0</v>
      </c>
      <c r="BO3" s="5">
        <v>0</v>
      </c>
      <c r="BP3" s="5">
        <v>0</v>
      </c>
      <c r="BQ3" s="5">
        <v>0</v>
      </c>
      <c r="BR3" s="5">
        <v>0</v>
      </c>
      <c r="BS3" s="5">
        <v>0</v>
      </c>
      <c r="BT3" s="5">
        <v>0</v>
      </c>
      <c r="BU3" s="5">
        <v>0</v>
      </c>
      <c r="BV3" s="5">
        <v>0</v>
      </c>
      <c r="BW3" s="5">
        <v>0</v>
      </c>
      <c r="BX3" s="5">
        <v>0</v>
      </c>
      <c r="BY3" s="5">
        <v>0</v>
      </c>
      <c r="BZ3" s="5">
        <v>0</v>
      </c>
      <c r="CA3" s="5">
        <v>0</v>
      </c>
      <c r="CB3" s="5">
        <v>0</v>
      </c>
      <c r="CC3" s="5">
        <v>0</v>
      </c>
      <c r="CD3" s="5">
        <v>0</v>
      </c>
      <c r="CE3" s="5">
        <v>0</v>
      </c>
      <c r="CF3" s="5">
        <v>0</v>
      </c>
      <c r="CG3" s="5">
        <v>0</v>
      </c>
      <c r="CH3" s="5">
        <v>0</v>
      </c>
      <c r="CI3" s="5">
        <v>0</v>
      </c>
      <c r="CJ3" s="5">
        <v>0</v>
      </c>
      <c r="CK3" s="5">
        <v>0</v>
      </c>
      <c r="CL3" s="5">
        <v>0</v>
      </c>
      <c r="CM3" s="5">
        <v>0</v>
      </c>
      <c r="CN3" s="5">
        <v>0</v>
      </c>
      <c r="CO3" s="5">
        <v>0</v>
      </c>
      <c r="CP3" s="5">
        <v>0</v>
      </c>
      <c r="CQ3" s="5">
        <v>0</v>
      </c>
      <c r="CR3" s="5">
        <v>0</v>
      </c>
      <c r="CS3" s="5">
        <v>0</v>
      </c>
      <c r="CT3" s="5">
        <v>0</v>
      </c>
      <c r="CU3" s="5">
        <v>0</v>
      </c>
      <c r="CV3" s="5">
        <v>0</v>
      </c>
      <c r="CW3" s="5">
        <v>0</v>
      </c>
      <c r="CX3" s="5">
        <v>0</v>
      </c>
      <c r="CY3" s="5">
        <v>0</v>
      </c>
      <c r="CZ3" s="5">
        <v>0</v>
      </c>
      <c r="DA3" s="5">
        <v>0</v>
      </c>
      <c r="DB3" s="5">
        <v>0</v>
      </c>
      <c r="DC3" s="5">
        <v>0</v>
      </c>
      <c r="DD3" s="5">
        <v>0</v>
      </c>
      <c r="DE3" s="5">
        <v>0</v>
      </c>
      <c r="DF3" s="5">
        <v>0</v>
      </c>
      <c r="DG3" s="5">
        <v>0</v>
      </c>
      <c r="DH3" s="5">
        <v>0</v>
      </c>
      <c r="DI3" s="5">
        <v>0</v>
      </c>
      <c r="DJ3" s="5">
        <v>0</v>
      </c>
      <c r="DK3" s="6">
        <v>0</v>
      </c>
    </row>
    <row r="4" spans="1:115" x14ac:dyDescent="0.15">
      <c r="A4" s="4" t="s">
        <v>8</v>
      </c>
      <c r="B4" s="5" t="s">
        <v>10</v>
      </c>
      <c r="C4" s="5">
        <v>10</v>
      </c>
      <c r="D4" s="5">
        <v>5.2169853190000008</v>
      </c>
      <c r="E4" s="5">
        <v>3.1599142899999997</v>
      </c>
      <c r="F4" s="5">
        <v>4.2358510379999998</v>
      </c>
      <c r="G4" s="5">
        <v>0.37959473799999999</v>
      </c>
      <c r="H4" s="5">
        <v>0.52822716800000002</v>
      </c>
      <c r="I4" s="5">
        <v>4.2072371110000004</v>
      </c>
      <c r="J4" s="5">
        <v>3.0661471369999997</v>
      </c>
      <c r="K4" s="5">
        <v>0.54495990599999999</v>
      </c>
      <c r="L4" s="5">
        <v>3.707075079</v>
      </c>
      <c r="M4" s="5">
        <v>0.51189240000000003</v>
      </c>
      <c r="N4" s="5">
        <v>0.26831616899999999</v>
      </c>
      <c r="O4" s="5">
        <v>1.5076394280000001</v>
      </c>
      <c r="P4" s="5">
        <v>0.8473893509999999</v>
      </c>
      <c r="Q4" s="5">
        <v>-0.30554747999999998</v>
      </c>
      <c r="R4" s="5">
        <v>-0.39612158000000003</v>
      </c>
      <c r="S4" s="5">
        <v>0.39171610299999998</v>
      </c>
      <c r="T4" s="5">
        <v>-0.35747105000000001</v>
      </c>
      <c r="U4" s="5">
        <v>-0.47863570999999999</v>
      </c>
      <c r="V4" s="5">
        <v>-9.231265000000001E-2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0</v>
      </c>
      <c r="BA4" s="5">
        <v>0</v>
      </c>
      <c r="BB4" s="5">
        <v>0</v>
      </c>
      <c r="BC4" s="5">
        <v>0</v>
      </c>
      <c r="BD4" s="5">
        <v>0</v>
      </c>
      <c r="BE4" s="5">
        <v>0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5">
        <v>0</v>
      </c>
      <c r="BM4" s="5">
        <v>0</v>
      </c>
      <c r="BN4" s="5">
        <v>0</v>
      </c>
      <c r="BO4" s="5">
        <v>0</v>
      </c>
      <c r="BP4" s="5">
        <v>0</v>
      </c>
      <c r="BQ4" s="5">
        <v>0</v>
      </c>
      <c r="BR4" s="5">
        <v>0</v>
      </c>
      <c r="BS4" s="5">
        <v>0</v>
      </c>
      <c r="BT4" s="5">
        <v>0</v>
      </c>
      <c r="BU4" s="5">
        <v>0</v>
      </c>
      <c r="BV4" s="5">
        <v>0</v>
      </c>
      <c r="BW4" s="5">
        <v>0</v>
      </c>
      <c r="BX4" s="5">
        <v>0</v>
      </c>
      <c r="BY4" s="5">
        <v>0</v>
      </c>
      <c r="BZ4" s="5">
        <v>0</v>
      </c>
      <c r="CA4" s="5">
        <v>0</v>
      </c>
      <c r="CB4" s="5">
        <v>0</v>
      </c>
      <c r="CC4" s="5">
        <v>0</v>
      </c>
      <c r="CD4" s="5">
        <v>0</v>
      </c>
      <c r="CE4" s="5">
        <v>0</v>
      </c>
      <c r="CF4" s="5">
        <v>0</v>
      </c>
      <c r="CG4" s="5">
        <v>0</v>
      </c>
      <c r="CH4" s="5">
        <v>0</v>
      </c>
      <c r="CI4" s="5">
        <v>0</v>
      </c>
      <c r="CJ4" s="5">
        <v>0</v>
      </c>
      <c r="CK4" s="5">
        <v>0</v>
      </c>
      <c r="CL4" s="5">
        <v>0</v>
      </c>
      <c r="CM4" s="5">
        <v>0</v>
      </c>
      <c r="CN4" s="5">
        <v>0</v>
      </c>
      <c r="CO4" s="5">
        <v>0</v>
      </c>
      <c r="CP4" s="5">
        <v>0</v>
      </c>
      <c r="CQ4" s="5">
        <v>0</v>
      </c>
      <c r="CR4" s="5">
        <v>0</v>
      </c>
      <c r="CS4" s="5">
        <v>0</v>
      </c>
      <c r="CT4" s="5">
        <v>0</v>
      </c>
      <c r="CU4" s="5">
        <v>0</v>
      </c>
      <c r="CV4" s="5">
        <v>0</v>
      </c>
      <c r="CW4" s="5">
        <v>0</v>
      </c>
      <c r="CX4" s="5">
        <v>0</v>
      </c>
      <c r="CY4" s="5">
        <v>0</v>
      </c>
      <c r="CZ4" s="5">
        <v>0</v>
      </c>
      <c r="DA4" s="5">
        <v>0</v>
      </c>
      <c r="DB4" s="5">
        <v>0</v>
      </c>
      <c r="DC4" s="5">
        <v>0</v>
      </c>
      <c r="DD4" s="5">
        <v>0</v>
      </c>
      <c r="DE4" s="5">
        <v>0</v>
      </c>
      <c r="DF4" s="5">
        <v>0</v>
      </c>
      <c r="DG4" s="5">
        <v>0</v>
      </c>
      <c r="DH4" s="5">
        <v>0</v>
      </c>
      <c r="DI4" s="5">
        <v>0</v>
      </c>
      <c r="DJ4" s="5">
        <v>0</v>
      </c>
      <c r="DK4" s="6">
        <v>0</v>
      </c>
    </row>
    <row r="5" spans="1:115" x14ac:dyDescent="0.15">
      <c r="A5" s="4" t="s">
        <v>8</v>
      </c>
      <c r="B5" s="5" t="s">
        <v>0</v>
      </c>
      <c r="C5" s="5">
        <v>5.2169853190000008</v>
      </c>
      <c r="D5" s="5">
        <v>10</v>
      </c>
      <c r="E5" s="5">
        <v>3.3808221970000001</v>
      </c>
      <c r="F5" s="5">
        <v>5.6266537599999999</v>
      </c>
      <c r="G5" s="5">
        <v>0.61118862699999998</v>
      </c>
      <c r="H5" s="5">
        <v>0.73604418699999996</v>
      </c>
      <c r="I5" s="5">
        <v>3.4263561920000001</v>
      </c>
      <c r="J5" s="5">
        <v>3.6178841140000002</v>
      </c>
      <c r="K5" s="5">
        <v>0.84260723900000001</v>
      </c>
      <c r="L5" s="5">
        <v>-0.65468171000000008</v>
      </c>
      <c r="M5" s="5">
        <v>-0.4063136</v>
      </c>
      <c r="N5" s="5">
        <v>0.52197594299999994</v>
      </c>
      <c r="O5" s="5">
        <v>2.1841461200000003</v>
      </c>
      <c r="P5" s="5">
        <v>-0.55786962000000007</v>
      </c>
      <c r="Q5" s="5">
        <v>0.11252696700000001</v>
      </c>
      <c r="R5" s="5">
        <v>-8.9373100000000011E-2</v>
      </c>
      <c r="S5" s="5">
        <v>0.36088178300000001</v>
      </c>
      <c r="T5" s="5">
        <v>-0.23203123999999997</v>
      </c>
      <c r="U5" s="5">
        <v>-3.0846736800000003</v>
      </c>
      <c r="V5" s="5">
        <v>7.3625596000000001E-2</v>
      </c>
      <c r="W5" s="5">
        <v>0</v>
      </c>
      <c r="X5" s="5">
        <v>0</v>
      </c>
      <c r="Y5" s="5">
        <v>0</v>
      </c>
      <c r="Z5" s="5">
        <v>0</v>
      </c>
      <c r="AA5" s="5">
        <v>0</v>
      </c>
      <c r="AB5" s="5">
        <v>0</v>
      </c>
      <c r="AC5" s="5">
        <v>0</v>
      </c>
      <c r="AD5" s="5">
        <v>0</v>
      </c>
      <c r="AE5" s="5">
        <v>0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0</v>
      </c>
      <c r="BA5" s="5">
        <v>0</v>
      </c>
      <c r="BB5" s="5">
        <v>0</v>
      </c>
      <c r="BC5" s="5">
        <v>0</v>
      </c>
      <c r="BD5" s="5">
        <v>0</v>
      </c>
      <c r="BE5" s="5">
        <v>0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5">
        <v>0</v>
      </c>
      <c r="BM5" s="5">
        <v>0</v>
      </c>
      <c r="BN5" s="5">
        <v>0</v>
      </c>
      <c r="BO5" s="5">
        <v>0</v>
      </c>
      <c r="BP5" s="5">
        <v>0</v>
      </c>
      <c r="BQ5" s="5">
        <v>0</v>
      </c>
      <c r="BR5" s="5">
        <v>0</v>
      </c>
      <c r="BS5" s="5">
        <v>0</v>
      </c>
      <c r="BT5" s="5">
        <v>0</v>
      </c>
      <c r="BU5" s="5">
        <v>0</v>
      </c>
      <c r="BV5" s="5">
        <v>0</v>
      </c>
      <c r="BW5" s="5">
        <v>0</v>
      </c>
      <c r="BX5" s="5">
        <v>0</v>
      </c>
      <c r="BY5" s="5">
        <v>0</v>
      </c>
      <c r="BZ5" s="5">
        <v>0</v>
      </c>
      <c r="CA5" s="5">
        <v>0</v>
      </c>
      <c r="CB5" s="5">
        <v>0</v>
      </c>
      <c r="CC5" s="5">
        <v>0</v>
      </c>
      <c r="CD5" s="5">
        <v>0</v>
      </c>
      <c r="CE5" s="5">
        <v>0</v>
      </c>
      <c r="CF5" s="5">
        <v>0</v>
      </c>
      <c r="CG5" s="5">
        <v>0</v>
      </c>
      <c r="CH5" s="5">
        <v>0</v>
      </c>
      <c r="CI5" s="5">
        <v>0</v>
      </c>
      <c r="CJ5" s="5">
        <v>0</v>
      </c>
      <c r="CK5" s="5">
        <v>0</v>
      </c>
      <c r="CL5" s="5">
        <v>0</v>
      </c>
      <c r="CM5" s="5">
        <v>0</v>
      </c>
      <c r="CN5" s="5">
        <v>0</v>
      </c>
      <c r="CO5" s="5">
        <v>0</v>
      </c>
      <c r="CP5" s="5">
        <v>0</v>
      </c>
      <c r="CQ5" s="5">
        <v>0</v>
      </c>
      <c r="CR5" s="5">
        <v>0</v>
      </c>
      <c r="CS5" s="5">
        <v>0</v>
      </c>
      <c r="CT5" s="5">
        <v>0</v>
      </c>
      <c r="CU5" s="5">
        <v>0</v>
      </c>
      <c r="CV5" s="5">
        <v>0</v>
      </c>
      <c r="CW5" s="5">
        <v>0</v>
      </c>
      <c r="CX5" s="5">
        <v>0</v>
      </c>
      <c r="CY5" s="5">
        <v>0</v>
      </c>
      <c r="CZ5" s="5">
        <v>0</v>
      </c>
      <c r="DA5" s="5">
        <v>0</v>
      </c>
      <c r="DB5" s="5">
        <v>0</v>
      </c>
      <c r="DC5" s="5">
        <v>0</v>
      </c>
      <c r="DD5" s="5">
        <v>0</v>
      </c>
      <c r="DE5" s="5">
        <v>0</v>
      </c>
      <c r="DF5" s="5">
        <v>0</v>
      </c>
      <c r="DG5" s="5">
        <v>0</v>
      </c>
      <c r="DH5" s="5">
        <v>0</v>
      </c>
      <c r="DI5" s="5">
        <v>0</v>
      </c>
      <c r="DJ5" s="5">
        <v>0</v>
      </c>
      <c r="DK5" s="6">
        <v>0</v>
      </c>
    </row>
    <row r="6" spans="1:115" x14ac:dyDescent="0.15">
      <c r="A6" s="4" t="s">
        <v>8</v>
      </c>
      <c r="B6" s="5" t="s">
        <v>1</v>
      </c>
      <c r="C6" s="5">
        <v>3.1599142899999997</v>
      </c>
      <c r="D6" s="5">
        <v>3.3808221970000001</v>
      </c>
      <c r="E6" s="5">
        <v>10</v>
      </c>
      <c r="F6" s="5">
        <v>2.3459892579999999</v>
      </c>
      <c r="G6" s="5">
        <v>0.20191061999999999</v>
      </c>
      <c r="H6" s="5">
        <v>0.287017572</v>
      </c>
      <c r="I6" s="5">
        <v>1.2314849050000001</v>
      </c>
      <c r="J6" s="5">
        <v>1.6852810620000001</v>
      </c>
      <c r="K6" s="5">
        <v>0.23959483300000001</v>
      </c>
      <c r="L6" s="5">
        <v>-0.36746785999999998</v>
      </c>
      <c r="M6" s="5">
        <v>0.44511210099999998</v>
      </c>
      <c r="N6" s="5">
        <v>0.24549937800000002</v>
      </c>
      <c r="O6" s="5">
        <v>0.77946433400000004</v>
      </c>
      <c r="P6" s="5">
        <v>0.297582817</v>
      </c>
      <c r="Q6" s="5">
        <v>-0.25877398000000001</v>
      </c>
      <c r="R6" s="5">
        <v>-0.33445500000000006</v>
      </c>
      <c r="S6" s="5">
        <v>0.17261543300000001</v>
      </c>
      <c r="T6" s="5">
        <v>-4.4882409999999998E-2</v>
      </c>
      <c r="U6" s="5">
        <v>-1.2015902600000001</v>
      </c>
      <c r="V6" s="5">
        <v>-0.20051644000000002</v>
      </c>
      <c r="W6" s="5">
        <v>0</v>
      </c>
      <c r="X6" s="5">
        <v>0</v>
      </c>
      <c r="Y6" s="5">
        <v>0</v>
      </c>
      <c r="Z6" s="5">
        <v>0</v>
      </c>
      <c r="AA6" s="5">
        <v>0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0</v>
      </c>
      <c r="AO6" s="5">
        <v>0</v>
      </c>
      <c r="AP6" s="5">
        <v>0</v>
      </c>
      <c r="AQ6" s="5">
        <v>0</v>
      </c>
      <c r="AR6" s="5">
        <v>0</v>
      </c>
      <c r="AS6" s="5">
        <v>0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5">
        <v>0</v>
      </c>
      <c r="BM6" s="5">
        <v>0</v>
      </c>
      <c r="BN6" s="5">
        <v>0</v>
      </c>
      <c r="BO6" s="5">
        <v>0</v>
      </c>
      <c r="BP6" s="5">
        <v>0</v>
      </c>
      <c r="BQ6" s="5">
        <v>0</v>
      </c>
      <c r="BR6" s="5">
        <v>0</v>
      </c>
      <c r="BS6" s="5">
        <v>0</v>
      </c>
      <c r="BT6" s="5">
        <v>0</v>
      </c>
      <c r="BU6" s="5">
        <v>0</v>
      </c>
      <c r="BV6" s="5">
        <v>0</v>
      </c>
      <c r="BW6" s="5">
        <v>0</v>
      </c>
      <c r="BX6" s="5">
        <v>0</v>
      </c>
      <c r="BY6" s="5">
        <v>0</v>
      </c>
      <c r="BZ6" s="5">
        <v>0</v>
      </c>
      <c r="CA6" s="5">
        <v>0</v>
      </c>
      <c r="CB6" s="5">
        <v>0</v>
      </c>
      <c r="CC6" s="5">
        <v>0</v>
      </c>
      <c r="CD6" s="5">
        <v>0</v>
      </c>
      <c r="CE6" s="5">
        <v>0</v>
      </c>
      <c r="CF6" s="5">
        <v>0</v>
      </c>
      <c r="CG6" s="5">
        <v>0</v>
      </c>
      <c r="CH6" s="5">
        <v>0</v>
      </c>
      <c r="CI6" s="5">
        <v>0</v>
      </c>
      <c r="CJ6" s="5">
        <v>0</v>
      </c>
      <c r="CK6" s="5">
        <v>0</v>
      </c>
      <c r="CL6" s="5">
        <v>0</v>
      </c>
      <c r="CM6" s="5">
        <v>0</v>
      </c>
      <c r="CN6" s="5">
        <v>0</v>
      </c>
      <c r="CO6" s="5">
        <v>0</v>
      </c>
      <c r="CP6" s="5">
        <v>0</v>
      </c>
      <c r="CQ6" s="5">
        <v>0</v>
      </c>
      <c r="CR6" s="5">
        <v>0</v>
      </c>
      <c r="CS6" s="5">
        <v>0</v>
      </c>
      <c r="CT6" s="5">
        <v>0</v>
      </c>
      <c r="CU6" s="5">
        <v>0</v>
      </c>
      <c r="CV6" s="5">
        <v>0</v>
      </c>
      <c r="CW6" s="5">
        <v>0</v>
      </c>
      <c r="CX6" s="5">
        <v>0</v>
      </c>
      <c r="CY6" s="5">
        <v>0</v>
      </c>
      <c r="CZ6" s="5">
        <v>0</v>
      </c>
      <c r="DA6" s="5">
        <v>0</v>
      </c>
      <c r="DB6" s="5">
        <v>0</v>
      </c>
      <c r="DC6" s="5">
        <v>0</v>
      </c>
      <c r="DD6" s="5">
        <v>0</v>
      </c>
      <c r="DE6" s="5">
        <v>0</v>
      </c>
      <c r="DF6" s="5">
        <v>0</v>
      </c>
      <c r="DG6" s="5">
        <v>0</v>
      </c>
      <c r="DH6" s="5">
        <v>0</v>
      </c>
      <c r="DI6" s="5">
        <v>0</v>
      </c>
      <c r="DJ6" s="5">
        <v>0</v>
      </c>
      <c r="DK6" s="6">
        <v>0</v>
      </c>
    </row>
    <row r="7" spans="1:115" x14ac:dyDescent="0.15">
      <c r="A7" s="4" t="s">
        <v>8</v>
      </c>
      <c r="B7" s="5" t="s">
        <v>11</v>
      </c>
      <c r="C7" s="5">
        <v>4.2358510379999998</v>
      </c>
      <c r="D7" s="5">
        <v>5.6266537599999999</v>
      </c>
      <c r="E7" s="5">
        <v>2.3459892579999999</v>
      </c>
      <c r="F7" s="5">
        <v>10</v>
      </c>
      <c r="G7" s="5">
        <v>0.47166182499999998</v>
      </c>
      <c r="H7" s="5">
        <v>0.52235980699999995</v>
      </c>
      <c r="I7" s="5">
        <v>4.539063187</v>
      </c>
      <c r="J7" s="5">
        <v>2.4048643529999998</v>
      </c>
      <c r="K7" s="5">
        <v>0.79086736499999999</v>
      </c>
      <c r="L7" s="5">
        <v>2.778529593</v>
      </c>
      <c r="M7" s="5">
        <v>-0.58696455000000003</v>
      </c>
      <c r="N7" s="5">
        <v>0.43287718799999997</v>
      </c>
      <c r="O7" s="5">
        <v>1.7295750320000001</v>
      </c>
      <c r="P7" s="5">
        <v>-9.1931879999999994E-2</v>
      </c>
      <c r="Q7" s="5">
        <v>5.5136495000000008E-2</v>
      </c>
      <c r="R7" s="5">
        <v>-5.8733229999999997E-2</v>
      </c>
      <c r="S7" s="5">
        <v>0.24419304400000003</v>
      </c>
      <c r="T7" s="5">
        <v>-7.7678490000000003E-2</v>
      </c>
      <c r="U7" s="5">
        <v>-2.4336755500000002</v>
      </c>
      <c r="V7" s="5">
        <v>0.13484639600000001</v>
      </c>
      <c r="W7" s="5">
        <v>0</v>
      </c>
      <c r="X7" s="5">
        <v>0</v>
      </c>
      <c r="Y7" s="5">
        <v>0</v>
      </c>
      <c r="Z7" s="5">
        <v>0</v>
      </c>
      <c r="AA7" s="5">
        <v>0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5">
        <v>0</v>
      </c>
      <c r="BM7" s="5">
        <v>0</v>
      </c>
      <c r="BN7" s="5">
        <v>0</v>
      </c>
      <c r="BO7" s="5">
        <v>0</v>
      </c>
      <c r="BP7" s="5">
        <v>0</v>
      </c>
      <c r="BQ7" s="5">
        <v>0</v>
      </c>
      <c r="BR7" s="5">
        <v>0</v>
      </c>
      <c r="BS7" s="5">
        <v>0</v>
      </c>
      <c r="BT7" s="5">
        <v>0</v>
      </c>
      <c r="BU7" s="5">
        <v>0</v>
      </c>
      <c r="BV7" s="5">
        <v>0</v>
      </c>
      <c r="BW7" s="5">
        <v>0</v>
      </c>
      <c r="BX7" s="5">
        <v>0</v>
      </c>
      <c r="BY7" s="5">
        <v>0</v>
      </c>
      <c r="BZ7" s="5">
        <v>0</v>
      </c>
      <c r="CA7" s="5">
        <v>0</v>
      </c>
      <c r="CB7" s="5">
        <v>0</v>
      </c>
      <c r="CC7" s="5">
        <v>0</v>
      </c>
      <c r="CD7" s="5">
        <v>0</v>
      </c>
      <c r="CE7" s="5">
        <v>0</v>
      </c>
      <c r="CF7" s="5">
        <v>0</v>
      </c>
      <c r="CG7" s="5">
        <v>0</v>
      </c>
      <c r="CH7" s="5">
        <v>0</v>
      </c>
      <c r="CI7" s="5">
        <v>0</v>
      </c>
      <c r="CJ7" s="5">
        <v>0</v>
      </c>
      <c r="CK7" s="5">
        <v>0</v>
      </c>
      <c r="CL7" s="5">
        <v>0</v>
      </c>
      <c r="CM7" s="5">
        <v>0</v>
      </c>
      <c r="CN7" s="5">
        <v>0</v>
      </c>
      <c r="CO7" s="5">
        <v>0</v>
      </c>
      <c r="CP7" s="5">
        <v>0</v>
      </c>
      <c r="CQ7" s="5">
        <v>0</v>
      </c>
      <c r="CR7" s="5">
        <v>0</v>
      </c>
      <c r="CS7" s="5">
        <v>0</v>
      </c>
      <c r="CT7" s="5">
        <v>0</v>
      </c>
      <c r="CU7" s="5">
        <v>0</v>
      </c>
      <c r="CV7" s="5">
        <v>0</v>
      </c>
      <c r="CW7" s="5">
        <v>0</v>
      </c>
      <c r="CX7" s="5">
        <v>0</v>
      </c>
      <c r="CY7" s="5">
        <v>0</v>
      </c>
      <c r="CZ7" s="5">
        <v>0</v>
      </c>
      <c r="DA7" s="5">
        <v>0</v>
      </c>
      <c r="DB7" s="5">
        <v>0</v>
      </c>
      <c r="DC7" s="5">
        <v>0</v>
      </c>
      <c r="DD7" s="5">
        <v>0</v>
      </c>
      <c r="DE7" s="5">
        <v>0</v>
      </c>
      <c r="DF7" s="5">
        <v>0</v>
      </c>
      <c r="DG7" s="5">
        <v>0</v>
      </c>
      <c r="DH7" s="5">
        <v>0</v>
      </c>
      <c r="DI7" s="5">
        <v>0</v>
      </c>
      <c r="DJ7" s="5">
        <v>0</v>
      </c>
      <c r="DK7" s="6">
        <v>0</v>
      </c>
    </row>
    <row r="8" spans="1:115" x14ac:dyDescent="0.15">
      <c r="A8" s="4" t="s">
        <v>8</v>
      </c>
      <c r="B8" s="5" t="s">
        <v>2</v>
      </c>
      <c r="C8" s="5">
        <v>0.37959473799999999</v>
      </c>
      <c r="D8" s="5">
        <v>0.61118862699999998</v>
      </c>
      <c r="E8" s="5">
        <v>0.20191061999999999</v>
      </c>
      <c r="F8" s="5">
        <v>0.47166182499999998</v>
      </c>
      <c r="G8" s="5">
        <v>10</v>
      </c>
      <c r="H8" s="5">
        <v>5.3832648400000007</v>
      </c>
      <c r="I8" s="5">
        <v>0.30578830800000001</v>
      </c>
      <c r="J8" s="5">
        <v>0.44147456899999998</v>
      </c>
      <c r="K8" s="5">
        <v>0.78348081299999994</v>
      </c>
      <c r="L8" s="5">
        <v>-2.5589200000000001E-3</v>
      </c>
      <c r="M8" s="5">
        <v>-3.5783299999999997E-2</v>
      </c>
      <c r="N8" s="5">
        <v>0.540831167</v>
      </c>
      <c r="O8" s="5">
        <v>0.16844083999999998</v>
      </c>
      <c r="P8" s="5">
        <v>-0.53730361999999998</v>
      </c>
      <c r="Q8" s="5">
        <v>9.9775765999999988E-2</v>
      </c>
      <c r="R8" s="5">
        <v>0.107320201</v>
      </c>
      <c r="S8" s="5">
        <v>0.28035590100000002</v>
      </c>
      <c r="T8" s="5">
        <v>0.219672489</v>
      </c>
      <c r="U8" s="5">
        <v>-0.20883523000000001</v>
      </c>
      <c r="V8" s="5">
        <v>0.15881229699999999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0</v>
      </c>
      <c r="DD8" s="5">
        <v>0</v>
      </c>
      <c r="DE8" s="5">
        <v>0</v>
      </c>
      <c r="DF8" s="5">
        <v>0</v>
      </c>
      <c r="DG8" s="5">
        <v>0</v>
      </c>
      <c r="DH8" s="5">
        <v>0</v>
      </c>
      <c r="DI8" s="5">
        <v>0</v>
      </c>
      <c r="DJ8" s="5">
        <v>0</v>
      </c>
      <c r="DK8" s="6">
        <v>0</v>
      </c>
    </row>
    <row r="9" spans="1:115" x14ac:dyDescent="0.15">
      <c r="A9" s="4" t="s">
        <v>8</v>
      </c>
      <c r="B9" s="5" t="s">
        <v>12</v>
      </c>
      <c r="C9" s="5">
        <v>0.52822716800000002</v>
      </c>
      <c r="D9" s="5">
        <v>0.73604418699999996</v>
      </c>
      <c r="E9" s="5">
        <v>0.287017572</v>
      </c>
      <c r="F9" s="5">
        <v>0.52235980699999995</v>
      </c>
      <c r="G9" s="5">
        <v>5.3832648400000007</v>
      </c>
      <c r="H9" s="5">
        <v>10</v>
      </c>
      <c r="I9" s="5">
        <v>0.44173859400000004</v>
      </c>
      <c r="J9" s="5">
        <v>0.80921001699999995</v>
      </c>
      <c r="K9" s="5">
        <v>0.54151660199999996</v>
      </c>
      <c r="L9" s="5">
        <v>3.9317234E-2</v>
      </c>
      <c r="M9" s="5">
        <v>-0.11830914999999999</v>
      </c>
      <c r="N9" s="5">
        <v>0.53082157499999993</v>
      </c>
      <c r="O9" s="5">
        <v>0.27127361100000003</v>
      </c>
      <c r="P9" s="5">
        <v>-0.50426528999999998</v>
      </c>
      <c r="Q9" s="5">
        <v>5.3118439999999996E-2</v>
      </c>
      <c r="R9" s="5">
        <v>0.10941732799999999</v>
      </c>
      <c r="S9" s="5">
        <v>0.26864689399999997</v>
      </c>
      <c r="T9" s="5">
        <v>0.31020758999999998</v>
      </c>
      <c r="U9" s="5">
        <v>-0.28634174000000001</v>
      </c>
      <c r="V9" s="5">
        <v>-3.719944E-2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0</v>
      </c>
      <c r="DD9" s="5">
        <v>0</v>
      </c>
      <c r="DE9" s="5">
        <v>0</v>
      </c>
      <c r="DF9" s="5">
        <v>0</v>
      </c>
      <c r="DG9" s="5">
        <v>0</v>
      </c>
      <c r="DH9" s="5">
        <v>0</v>
      </c>
      <c r="DI9" s="5">
        <v>0</v>
      </c>
      <c r="DJ9" s="5">
        <v>0</v>
      </c>
      <c r="DK9" s="6">
        <v>0</v>
      </c>
    </row>
    <row r="10" spans="1:115" x14ac:dyDescent="0.15">
      <c r="A10" s="4" t="s">
        <v>8</v>
      </c>
      <c r="B10" s="5" t="s">
        <v>13</v>
      </c>
      <c r="C10" s="5">
        <v>4.2072371110000004</v>
      </c>
      <c r="D10" s="5">
        <v>3.4263561920000001</v>
      </c>
      <c r="E10" s="5">
        <v>1.2314849050000001</v>
      </c>
      <c r="F10" s="5">
        <v>4.539063187</v>
      </c>
      <c r="G10" s="5">
        <v>0.30578830800000001</v>
      </c>
      <c r="H10" s="5">
        <v>0.44173859400000004</v>
      </c>
      <c r="I10" s="5">
        <v>10</v>
      </c>
      <c r="J10" s="5">
        <v>2.0954152609999999</v>
      </c>
      <c r="K10" s="5">
        <v>0.48306010599999999</v>
      </c>
      <c r="L10" s="5">
        <v>3.4124293239999997</v>
      </c>
      <c r="M10" s="5">
        <v>-4.6990829999999997E-2</v>
      </c>
      <c r="N10" s="5">
        <v>0.20515428400000002</v>
      </c>
      <c r="O10" s="5">
        <v>1.622798575</v>
      </c>
      <c r="P10" s="5">
        <v>0.18642929799999999</v>
      </c>
      <c r="Q10" s="5">
        <v>-0.24630011000000002</v>
      </c>
      <c r="R10" s="5">
        <v>-0.24512345000000002</v>
      </c>
      <c r="S10" s="5">
        <v>0.23364519899999997</v>
      </c>
      <c r="T10" s="5">
        <v>-0.26682890000000004</v>
      </c>
      <c r="U10" s="5">
        <v>-0.75933923000000003</v>
      </c>
      <c r="V10" s="5">
        <v>0.26433585700000001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0</v>
      </c>
      <c r="DD10" s="5">
        <v>0</v>
      </c>
      <c r="DE10" s="5">
        <v>0</v>
      </c>
      <c r="DF10" s="5">
        <v>0</v>
      </c>
      <c r="DG10" s="5">
        <v>0</v>
      </c>
      <c r="DH10" s="5">
        <v>0</v>
      </c>
      <c r="DI10" s="5">
        <v>0</v>
      </c>
      <c r="DJ10" s="5">
        <v>0</v>
      </c>
      <c r="DK10" s="6">
        <v>0</v>
      </c>
    </row>
    <row r="11" spans="1:115" x14ac:dyDescent="0.15">
      <c r="A11" s="4" t="s">
        <v>8</v>
      </c>
      <c r="B11" s="5" t="s">
        <v>14</v>
      </c>
      <c r="C11" s="5">
        <v>3.0661471369999997</v>
      </c>
      <c r="D11" s="5">
        <v>3.6178841140000002</v>
      </c>
      <c r="E11" s="5">
        <v>1.6852810620000001</v>
      </c>
      <c r="F11" s="5">
        <v>2.4048643529999998</v>
      </c>
      <c r="G11" s="5">
        <v>0.44147456899999998</v>
      </c>
      <c r="H11" s="5">
        <v>0.80921001699999995</v>
      </c>
      <c r="I11" s="5">
        <v>2.0954152609999999</v>
      </c>
      <c r="J11" s="5">
        <v>10</v>
      </c>
      <c r="K11" s="5">
        <v>-4.2682880000000006E-2</v>
      </c>
      <c r="L11" s="5">
        <v>0.48847548099999999</v>
      </c>
      <c r="M11" s="5">
        <v>-0.78225222999999999</v>
      </c>
      <c r="N11" s="5">
        <v>-5.4987880000000003E-2</v>
      </c>
      <c r="O11" s="5">
        <v>0.57227345600000001</v>
      </c>
      <c r="P11" s="5">
        <v>-0.34172029999999998</v>
      </c>
      <c r="Q11" s="5">
        <v>-0.72858208999999996</v>
      </c>
      <c r="R11" s="5">
        <v>-0.39344571</v>
      </c>
      <c r="S11" s="5">
        <v>0.44198019999999999</v>
      </c>
      <c r="T11" s="5">
        <v>-0.43613120999999999</v>
      </c>
      <c r="U11" s="5">
        <v>-1.4972652100000001</v>
      </c>
      <c r="V11" s="5">
        <v>0.24935453299999999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  <c r="DE11" s="5">
        <v>0</v>
      </c>
      <c r="DF11" s="5">
        <v>0</v>
      </c>
      <c r="DG11" s="5">
        <v>0</v>
      </c>
      <c r="DH11" s="5">
        <v>0</v>
      </c>
      <c r="DI11" s="5">
        <v>0</v>
      </c>
      <c r="DJ11" s="5">
        <v>0</v>
      </c>
      <c r="DK11" s="6">
        <v>0</v>
      </c>
    </row>
    <row r="12" spans="1:115" x14ac:dyDescent="0.15">
      <c r="A12" s="4" t="s">
        <v>8</v>
      </c>
      <c r="B12" s="5" t="s">
        <v>15</v>
      </c>
      <c r="C12" s="5">
        <v>0.54495990599999999</v>
      </c>
      <c r="D12" s="5">
        <v>0.84260723900000001</v>
      </c>
      <c r="E12" s="5">
        <v>0.23959483300000001</v>
      </c>
      <c r="F12" s="5">
        <v>0.79086736499999999</v>
      </c>
      <c r="G12" s="5">
        <v>0.78348081299999994</v>
      </c>
      <c r="H12" s="5">
        <v>0.54151660199999996</v>
      </c>
      <c r="I12" s="5">
        <v>0.48306010599999999</v>
      </c>
      <c r="J12" s="5">
        <v>-4.2682880000000006E-2</v>
      </c>
      <c r="K12" s="5">
        <v>10</v>
      </c>
      <c r="L12" s="5">
        <v>3.7385117000000002E-2</v>
      </c>
      <c r="M12" s="5">
        <v>-0.18967576</v>
      </c>
      <c r="N12" s="5">
        <v>5.6444877629999999</v>
      </c>
      <c r="O12" s="5">
        <v>1.01312782</v>
      </c>
      <c r="P12" s="5">
        <v>-0.31630617999999999</v>
      </c>
      <c r="Q12" s="5">
        <v>0.18069154300000001</v>
      </c>
      <c r="R12" s="5">
        <v>0.142899099</v>
      </c>
      <c r="S12" s="5">
        <v>-0.78770875000000007</v>
      </c>
      <c r="T12" s="5">
        <v>1.3494079449999998</v>
      </c>
      <c r="U12" s="5">
        <v>-0.44140288999999999</v>
      </c>
      <c r="V12" s="5">
        <v>-0.14922848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0</v>
      </c>
      <c r="DD12" s="5">
        <v>0</v>
      </c>
      <c r="DE12" s="5">
        <v>0</v>
      </c>
      <c r="DF12" s="5">
        <v>0</v>
      </c>
      <c r="DG12" s="5">
        <v>0</v>
      </c>
      <c r="DH12" s="5">
        <v>0</v>
      </c>
      <c r="DI12" s="5">
        <v>0</v>
      </c>
      <c r="DJ12" s="5">
        <v>0</v>
      </c>
      <c r="DK12" s="6">
        <v>0</v>
      </c>
    </row>
    <row r="13" spans="1:115" x14ac:dyDescent="0.15">
      <c r="A13" s="4" t="s">
        <v>8</v>
      </c>
      <c r="B13" s="5" t="s">
        <v>16</v>
      </c>
      <c r="C13" s="5">
        <v>3.707075079</v>
      </c>
      <c r="D13" s="5">
        <v>-0.65468171000000008</v>
      </c>
      <c r="E13" s="5">
        <v>-0.36746785999999998</v>
      </c>
      <c r="F13" s="5">
        <v>2.778529593</v>
      </c>
      <c r="G13" s="5">
        <v>-2.5589200000000001E-3</v>
      </c>
      <c r="H13" s="5">
        <v>3.9317234E-2</v>
      </c>
      <c r="I13" s="5">
        <v>3.4124293239999997</v>
      </c>
      <c r="J13" s="5">
        <v>0.48847548099999999</v>
      </c>
      <c r="K13" s="5">
        <v>3.7385117000000002E-2</v>
      </c>
      <c r="L13" s="5">
        <v>10</v>
      </c>
      <c r="M13" s="5">
        <v>1.1209494630000001</v>
      </c>
      <c r="N13" s="5">
        <v>-0.14129421</v>
      </c>
      <c r="O13" s="5">
        <v>0.34592942100000001</v>
      </c>
      <c r="P13" s="5">
        <v>1.123402112</v>
      </c>
      <c r="Q13" s="5">
        <v>-0.41322946999999999</v>
      </c>
      <c r="R13" s="5">
        <v>-0.30456387000000001</v>
      </c>
      <c r="S13" s="5">
        <v>0.179166566</v>
      </c>
      <c r="T13" s="5">
        <v>-5.5192610000000003E-2</v>
      </c>
      <c r="U13" s="5">
        <v>3.1317307090000002</v>
      </c>
      <c r="V13" s="5">
        <v>0.466785067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  <c r="DE13" s="5">
        <v>0</v>
      </c>
      <c r="DF13" s="5">
        <v>0</v>
      </c>
      <c r="DG13" s="5">
        <v>0</v>
      </c>
      <c r="DH13" s="5">
        <v>0</v>
      </c>
      <c r="DI13" s="5">
        <v>0</v>
      </c>
      <c r="DJ13" s="5">
        <v>0</v>
      </c>
      <c r="DK13" s="6">
        <v>0</v>
      </c>
    </row>
    <row r="14" spans="1:115" x14ac:dyDescent="0.15">
      <c r="A14" s="4" t="s">
        <v>8</v>
      </c>
      <c r="B14" s="5" t="s">
        <v>9</v>
      </c>
      <c r="C14" s="5">
        <v>0.51189240000000003</v>
      </c>
      <c r="D14" s="5">
        <v>-0.4063136</v>
      </c>
      <c r="E14" s="5">
        <v>0.44511210099999998</v>
      </c>
      <c r="F14" s="5">
        <v>-0.58696455000000003</v>
      </c>
      <c r="G14" s="5">
        <v>-3.5783299999999997E-2</v>
      </c>
      <c r="H14" s="5">
        <v>-0.11830914999999999</v>
      </c>
      <c r="I14" s="5">
        <v>-4.6990829999999997E-2</v>
      </c>
      <c r="J14" s="5">
        <v>-0.78225222999999999</v>
      </c>
      <c r="K14" s="5">
        <v>-0.18967576</v>
      </c>
      <c r="L14" s="5">
        <v>1.1209494630000001</v>
      </c>
      <c r="M14" s="5">
        <v>10</v>
      </c>
      <c r="N14" s="5">
        <v>-0.13361265999999999</v>
      </c>
      <c r="O14" s="5">
        <v>-0.36415884000000004</v>
      </c>
      <c r="P14" s="5">
        <v>0.49010558400000004</v>
      </c>
      <c r="Q14" s="5">
        <v>-1.1494310000000001E-2</v>
      </c>
      <c r="R14" s="5">
        <v>0.111441896</v>
      </c>
      <c r="S14" s="5">
        <v>9.7644689999999992E-2</v>
      </c>
      <c r="T14" s="5">
        <v>-0.50431703000000005</v>
      </c>
      <c r="U14" s="5">
        <v>0.8611288829999999</v>
      </c>
      <c r="V14" s="5">
        <v>0.15056076899999998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0</v>
      </c>
      <c r="DD14" s="5">
        <v>0</v>
      </c>
      <c r="DE14" s="5">
        <v>0</v>
      </c>
      <c r="DF14" s="5">
        <v>0</v>
      </c>
      <c r="DG14" s="5">
        <v>0</v>
      </c>
      <c r="DH14" s="5">
        <v>0</v>
      </c>
      <c r="DI14" s="5">
        <v>0</v>
      </c>
      <c r="DJ14" s="5">
        <v>0</v>
      </c>
      <c r="DK14" s="6">
        <v>0</v>
      </c>
    </row>
    <row r="15" spans="1:115" x14ac:dyDescent="0.15">
      <c r="A15" s="4" t="s">
        <v>8</v>
      </c>
      <c r="B15" s="5" t="s">
        <v>17</v>
      </c>
      <c r="C15" s="5">
        <v>0.26831616899999999</v>
      </c>
      <c r="D15" s="5">
        <v>0.52197594299999994</v>
      </c>
      <c r="E15" s="5">
        <v>0.24549937800000002</v>
      </c>
      <c r="F15" s="5">
        <v>0.43287718799999997</v>
      </c>
      <c r="G15" s="5">
        <v>0.540831167</v>
      </c>
      <c r="H15" s="5">
        <v>0.53082157499999993</v>
      </c>
      <c r="I15" s="5">
        <v>0.20515428400000002</v>
      </c>
      <c r="J15" s="5">
        <v>-5.4987880000000003E-2</v>
      </c>
      <c r="K15" s="5">
        <v>5.6444877629999999</v>
      </c>
      <c r="L15" s="5">
        <v>-0.14129421</v>
      </c>
      <c r="M15" s="5">
        <v>-0.13361265999999999</v>
      </c>
      <c r="N15" s="5">
        <v>10</v>
      </c>
      <c r="O15" s="5">
        <v>0.66764067599999999</v>
      </c>
      <c r="P15" s="5">
        <v>-0.27953283000000001</v>
      </c>
      <c r="Q15" s="5">
        <v>0.29492169400000001</v>
      </c>
      <c r="R15" s="5">
        <v>0.28088829500000001</v>
      </c>
      <c r="S15" s="5">
        <v>-0.37010172000000002</v>
      </c>
      <c r="T15" s="5">
        <v>0.94703600799999998</v>
      </c>
      <c r="U15" s="5">
        <v>-0.31105710000000003</v>
      </c>
      <c r="V15" s="5">
        <v>-1.1874938900000001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0</v>
      </c>
      <c r="DD15" s="5">
        <v>0</v>
      </c>
      <c r="DE15" s="5">
        <v>0</v>
      </c>
      <c r="DF15" s="5">
        <v>0</v>
      </c>
      <c r="DG15" s="5">
        <v>0</v>
      </c>
      <c r="DH15" s="5">
        <v>0</v>
      </c>
      <c r="DI15" s="5">
        <v>0</v>
      </c>
      <c r="DJ15" s="5">
        <v>0</v>
      </c>
      <c r="DK15" s="6">
        <v>0</v>
      </c>
    </row>
    <row r="16" spans="1:115" x14ac:dyDescent="0.15">
      <c r="A16" s="4" t="s">
        <v>8</v>
      </c>
      <c r="B16" s="5" t="s">
        <v>18</v>
      </c>
      <c r="C16" s="5">
        <v>1.5076394280000001</v>
      </c>
      <c r="D16" s="5">
        <v>2.1841461200000003</v>
      </c>
      <c r="E16" s="5">
        <v>0.77946433400000004</v>
      </c>
      <c r="F16" s="5">
        <v>1.7295750320000001</v>
      </c>
      <c r="G16" s="5">
        <v>0.16844083999999998</v>
      </c>
      <c r="H16" s="5">
        <v>0.27127361100000003</v>
      </c>
      <c r="I16" s="5">
        <v>1.622798575</v>
      </c>
      <c r="J16" s="5">
        <v>0.57227345600000001</v>
      </c>
      <c r="K16" s="5">
        <v>1.01312782</v>
      </c>
      <c r="L16" s="5">
        <v>0.34592942100000001</v>
      </c>
      <c r="M16" s="5">
        <v>-0.36415884000000004</v>
      </c>
      <c r="N16" s="5">
        <v>0.66764067599999999</v>
      </c>
      <c r="O16" s="5">
        <v>10</v>
      </c>
      <c r="P16" s="5">
        <v>-0.11641676000000001</v>
      </c>
      <c r="Q16" s="5">
        <v>-0.25774660999999999</v>
      </c>
      <c r="R16" s="5">
        <v>-0.205458</v>
      </c>
      <c r="S16" s="5">
        <v>0.19225665199999997</v>
      </c>
      <c r="T16" s="5">
        <v>0.172931103</v>
      </c>
      <c r="U16" s="5">
        <v>-0.86177029999999999</v>
      </c>
      <c r="V16" s="5">
        <v>-0.13472286999999999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0</v>
      </c>
      <c r="DD16" s="5">
        <v>0</v>
      </c>
      <c r="DE16" s="5">
        <v>0</v>
      </c>
      <c r="DF16" s="5">
        <v>0</v>
      </c>
      <c r="DG16" s="5">
        <v>0</v>
      </c>
      <c r="DH16" s="5">
        <v>0</v>
      </c>
      <c r="DI16" s="5">
        <v>0</v>
      </c>
      <c r="DJ16" s="5">
        <v>0</v>
      </c>
      <c r="DK16" s="6">
        <v>0</v>
      </c>
    </row>
    <row r="17" spans="1:115" x14ac:dyDescent="0.15">
      <c r="A17" s="4" t="s">
        <v>8</v>
      </c>
      <c r="B17" s="5" t="s">
        <v>19</v>
      </c>
      <c r="C17" s="5">
        <v>0.8473893509999999</v>
      </c>
      <c r="D17" s="5">
        <v>-0.55786962000000007</v>
      </c>
      <c r="E17" s="5">
        <v>0.297582817</v>
      </c>
      <c r="F17" s="5">
        <v>-9.1931879999999994E-2</v>
      </c>
      <c r="G17" s="5">
        <v>-0.53730361999999998</v>
      </c>
      <c r="H17" s="5">
        <v>-0.50426528999999998</v>
      </c>
      <c r="I17" s="5">
        <v>0.18642929799999999</v>
      </c>
      <c r="J17" s="5">
        <v>-0.34172029999999998</v>
      </c>
      <c r="K17" s="5">
        <v>-0.31630617999999999</v>
      </c>
      <c r="L17" s="5">
        <v>1.123402112</v>
      </c>
      <c r="M17" s="5">
        <v>0.49010558400000004</v>
      </c>
      <c r="N17" s="5">
        <v>-0.27953283000000001</v>
      </c>
      <c r="O17" s="5">
        <v>-0.11641676000000001</v>
      </c>
      <c r="P17" s="5">
        <v>10</v>
      </c>
      <c r="Q17" s="5">
        <v>-7.1103620000000006E-2</v>
      </c>
      <c r="R17" s="5">
        <v>-0.13887996</v>
      </c>
      <c r="S17" s="5">
        <v>3.8776222999999999E-2</v>
      </c>
      <c r="T17" s="5">
        <v>-9.165914E-2</v>
      </c>
      <c r="U17" s="5">
        <v>1.8688229040000002</v>
      </c>
      <c r="V17" s="5">
        <v>-0.28597326000000001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0</v>
      </c>
      <c r="DD17" s="5">
        <v>0</v>
      </c>
      <c r="DE17" s="5">
        <v>0</v>
      </c>
      <c r="DF17" s="5">
        <v>0</v>
      </c>
      <c r="DG17" s="5">
        <v>0</v>
      </c>
      <c r="DH17" s="5">
        <v>0</v>
      </c>
      <c r="DI17" s="5">
        <v>0</v>
      </c>
      <c r="DJ17" s="5">
        <v>0</v>
      </c>
      <c r="DK17" s="6">
        <v>0</v>
      </c>
    </row>
    <row r="18" spans="1:115" x14ac:dyDescent="0.15">
      <c r="A18" s="4" t="s">
        <v>8</v>
      </c>
      <c r="B18" s="5" t="s">
        <v>20</v>
      </c>
      <c r="C18" s="5">
        <v>-0.30554747999999998</v>
      </c>
      <c r="D18" s="5">
        <v>0.11252696700000001</v>
      </c>
      <c r="E18" s="5">
        <v>-0.25877398000000001</v>
      </c>
      <c r="F18" s="5">
        <v>5.5136495000000008E-2</v>
      </c>
      <c r="G18" s="5">
        <v>9.9775765999999988E-2</v>
      </c>
      <c r="H18" s="5">
        <v>5.3118439999999996E-2</v>
      </c>
      <c r="I18" s="5">
        <v>-0.24630011000000002</v>
      </c>
      <c r="J18" s="5">
        <v>-0.72858208999999996</v>
      </c>
      <c r="K18" s="5">
        <v>0.18069154300000001</v>
      </c>
      <c r="L18" s="5">
        <v>-0.41322946999999999</v>
      </c>
      <c r="M18" s="5">
        <v>-1.1494310000000001E-2</v>
      </c>
      <c r="N18" s="5">
        <v>0.29492169400000001</v>
      </c>
      <c r="O18" s="5">
        <v>-0.25774660999999999</v>
      </c>
      <c r="P18" s="5">
        <v>-7.1103620000000006E-2</v>
      </c>
      <c r="Q18" s="5">
        <v>10</v>
      </c>
      <c r="R18" s="5">
        <v>7.7321357729999995</v>
      </c>
      <c r="S18" s="5">
        <v>-0.24292174999999999</v>
      </c>
      <c r="T18" s="5">
        <v>0.16280788500000001</v>
      </c>
      <c r="U18" s="5">
        <v>5.3693576E-2</v>
      </c>
      <c r="V18" s="5">
        <v>-5.5013680000000002E-2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0</v>
      </c>
      <c r="DD18" s="5">
        <v>0</v>
      </c>
      <c r="DE18" s="5">
        <v>0</v>
      </c>
      <c r="DF18" s="5">
        <v>0</v>
      </c>
      <c r="DG18" s="5">
        <v>0</v>
      </c>
      <c r="DH18" s="5">
        <v>0</v>
      </c>
      <c r="DI18" s="5">
        <v>0</v>
      </c>
      <c r="DJ18" s="5">
        <v>0</v>
      </c>
      <c r="DK18" s="6">
        <v>0</v>
      </c>
    </row>
    <row r="19" spans="1:115" x14ac:dyDescent="0.15">
      <c r="A19" s="4" t="s">
        <v>8</v>
      </c>
      <c r="B19" s="5" t="s">
        <v>21</v>
      </c>
      <c r="C19" s="5">
        <v>-0.39612158000000003</v>
      </c>
      <c r="D19" s="5">
        <v>-8.9373100000000011E-2</v>
      </c>
      <c r="E19" s="5">
        <v>-0.33445500000000006</v>
      </c>
      <c r="F19" s="5">
        <v>-5.8733229999999997E-2</v>
      </c>
      <c r="G19" s="5">
        <v>0.107320201</v>
      </c>
      <c r="H19" s="5">
        <v>0.10941732799999999</v>
      </c>
      <c r="I19" s="5">
        <v>-0.24512345000000002</v>
      </c>
      <c r="J19" s="5">
        <v>-0.39344571</v>
      </c>
      <c r="K19" s="5">
        <v>0.142899099</v>
      </c>
      <c r="L19" s="5">
        <v>-0.30456387000000001</v>
      </c>
      <c r="M19" s="5">
        <v>0.111441896</v>
      </c>
      <c r="N19" s="5">
        <v>0.28088829500000001</v>
      </c>
      <c r="O19" s="5">
        <v>-0.205458</v>
      </c>
      <c r="P19" s="5">
        <v>-0.13887996</v>
      </c>
      <c r="Q19" s="5">
        <v>7.7321357729999995</v>
      </c>
      <c r="R19" s="5">
        <v>10</v>
      </c>
      <c r="S19" s="5">
        <v>-0.15240952999999999</v>
      </c>
      <c r="T19" s="5">
        <v>0.12990214999999999</v>
      </c>
      <c r="U19" s="5">
        <v>-2.694013E-2</v>
      </c>
      <c r="V19" s="5">
        <v>-4.4625910000000005E-2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0</v>
      </c>
      <c r="DD19" s="5">
        <v>0</v>
      </c>
      <c r="DE19" s="5">
        <v>0</v>
      </c>
      <c r="DF19" s="5">
        <v>0</v>
      </c>
      <c r="DG19" s="5">
        <v>0</v>
      </c>
      <c r="DH19" s="5">
        <v>0</v>
      </c>
      <c r="DI19" s="5">
        <v>0</v>
      </c>
      <c r="DJ19" s="5">
        <v>0</v>
      </c>
      <c r="DK19" s="6">
        <v>0</v>
      </c>
    </row>
    <row r="20" spans="1:115" x14ac:dyDescent="0.15">
      <c r="A20" s="4" t="s">
        <v>8</v>
      </c>
      <c r="B20" s="5" t="s">
        <v>22</v>
      </c>
      <c r="C20" s="5">
        <v>0.39171610299999998</v>
      </c>
      <c r="D20" s="5">
        <v>0.36088178300000001</v>
      </c>
      <c r="E20" s="5">
        <v>0.17261543300000001</v>
      </c>
      <c r="F20" s="5">
        <v>0.24419304400000003</v>
      </c>
      <c r="G20" s="5">
        <v>0.28035590100000002</v>
      </c>
      <c r="H20" s="5">
        <v>0.26864689399999997</v>
      </c>
      <c r="I20" s="5">
        <v>0.23364519899999997</v>
      </c>
      <c r="J20" s="5">
        <v>0.44198019999999999</v>
      </c>
      <c r="K20" s="5">
        <v>-0.78770875000000007</v>
      </c>
      <c r="L20" s="5">
        <v>0.179166566</v>
      </c>
      <c r="M20" s="5">
        <v>9.7644689999999992E-2</v>
      </c>
      <c r="N20" s="5">
        <v>-0.37010172000000002</v>
      </c>
      <c r="O20" s="5">
        <v>0.19225665199999997</v>
      </c>
      <c r="P20" s="5">
        <v>3.8776222999999999E-2</v>
      </c>
      <c r="Q20" s="5">
        <v>-0.24292174999999999</v>
      </c>
      <c r="R20" s="5">
        <v>-0.15240952999999999</v>
      </c>
      <c r="S20" s="5">
        <v>10</v>
      </c>
      <c r="T20" s="5">
        <v>-0.27564590999999999</v>
      </c>
      <c r="U20" s="5">
        <v>-2.4606939999999997E-2</v>
      </c>
      <c r="V20" s="5">
        <v>-0.25067666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0</v>
      </c>
      <c r="DD20" s="5">
        <v>0</v>
      </c>
      <c r="DE20" s="5">
        <v>0</v>
      </c>
      <c r="DF20" s="5">
        <v>0</v>
      </c>
      <c r="DG20" s="5">
        <v>0</v>
      </c>
      <c r="DH20" s="5">
        <v>0</v>
      </c>
      <c r="DI20" s="5">
        <v>0</v>
      </c>
      <c r="DJ20" s="5">
        <v>0</v>
      </c>
      <c r="DK20" s="6">
        <v>0</v>
      </c>
    </row>
    <row r="21" spans="1:115" x14ac:dyDescent="0.15">
      <c r="A21" s="4" t="s">
        <v>8</v>
      </c>
      <c r="B21" s="5" t="s">
        <v>3</v>
      </c>
      <c r="C21" s="5">
        <v>-0.35747105000000001</v>
      </c>
      <c r="D21" s="5">
        <v>-0.23203123999999997</v>
      </c>
      <c r="E21" s="5">
        <v>-4.4882409999999998E-2</v>
      </c>
      <c r="F21" s="5">
        <v>-7.7678490000000003E-2</v>
      </c>
      <c r="G21" s="5">
        <v>0.219672489</v>
      </c>
      <c r="H21" s="5">
        <v>0.31020758999999998</v>
      </c>
      <c r="I21" s="5">
        <v>-0.26682890000000004</v>
      </c>
      <c r="J21" s="5">
        <v>-0.43613120999999999</v>
      </c>
      <c r="K21" s="5">
        <v>1.3494079449999998</v>
      </c>
      <c r="L21" s="5">
        <v>-5.5192610000000003E-2</v>
      </c>
      <c r="M21" s="5">
        <v>-0.50431703000000005</v>
      </c>
      <c r="N21" s="5">
        <v>0.94703600799999998</v>
      </c>
      <c r="O21" s="5">
        <v>0.172931103</v>
      </c>
      <c r="P21" s="5">
        <v>-9.165914E-2</v>
      </c>
      <c r="Q21" s="5">
        <v>0.16280788500000001</v>
      </c>
      <c r="R21" s="5">
        <v>0.12990214999999999</v>
      </c>
      <c r="S21" s="5">
        <v>-0.27564590999999999</v>
      </c>
      <c r="T21" s="5">
        <v>10</v>
      </c>
      <c r="U21" s="5">
        <v>3.8231304000000001E-2</v>
      </c>
      <c r="V21" s="5">
        <v>-0.71871760000000007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0</v>
      </c>
      <c r="DD21" s="5">
        <v>0</v>
      </c>
      <c r="DE21" s="5">
        <v>0</v>
      </c>
      <c r="DF21" s="5">
        <v>0</v>
      </c>
      <c r="DG21" s="5">
        <v>0</v>
      </c>
      <c r="DH21" s="5">
        <v>0</v>
      </c>
      <c r="DI21" s="5">
        <v>0</v>
      </c>
      <c r="DJ21" s="5">
        <v>0</v>
      </c>
      <c r="DK21" s="6">
        <v>0</v>
      </c>
    </row>
    <row r="22" spans="1:115" x14ac:dyDescent="0.15">
      <c r="A22" s="4" t="s">
        <v>8</v>
      </c>
      <c r="B22" s="5" t="s">
        <v>4</v>
      </c>
      <c r="C22" s="5">
        <v>-0.47863570999999999</v>
      </c>
      <c r="D22" s="5">
        <v>-3.0846736800000003</v>
      </c>
      <c r="E22" s="5">
        <v>-1.2015902600000001</v>
      </c>
      <c r="F22" s="5">
        <v>-2.4336755500000002</v>
      </c>
      <c r="G22" s="5">
        <v>-0.20883523000000001</v>
      </c>
      <c r="H22" s="5">
        <v>-0.28634174000000001</v>
      </c>
      <c r="I22" s="5">
        <v>-0.75933923000000003</v>
      </c>
      <c r="J22" s="5">
        <v>-1.4972652100000001</v>
      </c>
      <c r="K22" s="5">
        <v>-0.44140288999999999</v>
      </c>
      <c r="L22" s="5">
        <v>3.1317307090000002</v>
      </c>
      <c r="M22" s="5">
        <v>0.8611288829999999</v>
      </c>
      <c r="N22" s="5">
        <v>-0.31105710000000003</v>
      </c>
      <c r="O22" s="5">
        <v>-0.86177029999999999</v>
      </c>
      <c r="P22" s="5">
        <v>1.8688229040000002</v>
      </c>
      <c r="Q22" s="5">
        <v>5.3693576E-2</v>
      </c>
      <c r="R22" s="5">
        <v>-2.694013E-2</v>
      </c>
      <c r="S22" s="5">
        <v>-2.4606939999999997E-2</v>
      </c>
      <c r="T22" s="5">
        <v>3.8231304000000001E-2</v>
      </c>
      <c r="U22" s="5">
        <v>10</v>
      </c>
      <c r="V22" s="5">
        <v>0.10624104500000001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0</v>
      </c>
      <c r="DD22" s="5">
        <v>0</v>
      </c>
      <c r="DE22" s="5">
        <v>0</v>
      </c>
      <c r="DF22" s="5">
        <v>0</v>
      </c>
      <c r="DG22" s="5">
        <v>0</v>
      </c>
      <c r="DH22" s="5">
        <v>0</v>
      </c>
      <c r="DI22" s="5">
        <v>0</v>
      </c>
      <c r="DJ22" s="5">
        <v>0</v>
      </c>
      <c r="DK22" s="6">
        <v>0</v>
      </c>
    </row>
    <row r="23" spans="1:115" x14ac:dyDescent="0.15">
      <c r="A23" s="4" t="s">
        <v>8</v>
      </c>
      <c r="B23" s="5" t="s">
        <v>23</v>
      </c>
      <c r="C23" s="5">
        <v>-9.231265000000001E-2</v>
      </c>
      <c r="D23" s="5">
        <v>7.3625596000000001E-2</v>
      </c>
      <c r="E23" s="5">
        <v>-0.20051644000000002</v>
      </c>
      <c r="F23" s="5">
        <v>0.13484639600000001</v>
      </c>
      <c r="G23" s="5">
        <v>0.15881229699999999</v>
      </c>
      <c r="H23" s="5">
        <v>-3.719944E-2</v>
      </c>
      <c r="I23" s="5">
        <v>0.26433585700000001</v>
      </c>
      <c r="J23" s="5">
        <v>0.24935453299999999</v>
      </c>
      <c r="K23" s="5">
        <v>-0.14922848</v>
      </c>
      <c r="L23" s="5">
        <v>0.466785067</v>
      </c>
      <c r="M23" s="5">
        <v>0.15056076899999998</v>
      </c>
      <c r="N23" s="5">
        <v>-1.1874938900000001</v>
      </c>
      <c r="O23" s="5">
        <v>-0.13472286999999999</v>
      </c>
      <c r="P23" s="5">
        <v>-0.28597326000000001</v>
      </c>
      <c r="Q23" s="5">
        <v>-5.5013680000000002E-2</v>
      </c>
      <c r="R23" s="5">
        <v>-4.4625910000000005E-2</v>
      </c>
      <c r="S23" s="5">
        <v>-0.25067666</v>
      </c>
      <c r="T23" s="5">
        <v>-0.71871760000000007</v>
      </c>
      <c r="U23" s="5">
        <v>0.10624104500000001</v>
      </c>
      <c r="V23" s="5">
        <v>10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0</v>
      </c>
      <c r="DD23" s="5">
        <v>0</v>
      </c>
      <c r="DE23" s="5">
        <v>0</v>
      </c>
      <c r="DF23" s="5">
        <v>0</v>
      </c>
      <c r="DG23" s="5">
        <v>0</v>
      </c>
      <c r="DH23" s="5">
        <v>0</v>
      </c>
      <c r="DI23" s="5">
        <v>0</v>
      </c>
      <c r="DJ23" s="5">
        <v>0</v>
      </c>
      <c r="DK23" s="6">
        <v>0</v>
      </c>
    </row>
    <row r="24" spans="1:115" x14ac:dyDescent="0.15">
      <c r="A24" s="4">
        <v>0</v>
      </c>
      <c r="B24" s="5">
        <v>0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0</v>
      </c>
      <c r="DD24" s="5">
        <v>0</v>
      </c>
      <c r="DE24" s="5">
        <v>0</v>
      </c>
      <c r="DF24" s="5">
        <v>0</v>
      </c>
      <c r="DG24" s="5">
        <v>0</v>
      </c>
      <c r="DH24" s="5">
        <v>0</v>
      </c>
      <c r="DI24" s="5">
        <v>0</v>
      </c>
      <c r="DJ24" s="5">
        <v>0</v>
      </c>
      <c r="DK24" s="6">
        <v>0</v>
      </c>
    </row>
    <row r="25" spans="1:115" x14ac:dyDescent="0.15">
      <c r="A25" s="4">
        <v>0</v>
      </c>
      <c r="B25" s="5">
        <v>0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0</v>
      </c>
      <c r="DD25" s="5">
        <v>0</v>
      </c>
      <c r="DE25" s="5">
        <v>0</v>
      </c>
      <c r="DF25" s="5">
        <v>0</v>
      </c>
      <c r="DG25" s="5">
        <v>0</v>
      </c>
      <c r="DH25" s="5">
        <v>0</v>
      </c>
      <c r="DI25" s="5">
        <v>0</v>
      </c>
      <c r="DJ25" s="5">
        <v>0</v>
      </c>
      <c r="DK25" s="6">
        <v>0</v>
      </c>
    </row>
    <row r="26" spans="1:115" x14ac:dyDescent="0.15">
      <c r="A26" s="4">
        <v>0</v>
      </c>
      <c r="B26" s="5">
        <v>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0</v>
      </c>
      <c r="DD26" s="5">
        <v>0</v>
      </c>
      <c r="DE26" s="5">
        <v>0</v>
      </c>
      <c r="DF26" s="5">
        <v>0</v>
      </c>
      <c r="DG26" s="5">
        <v>0</v>
      </c>
      <c r="DH26" s="5">
        <v>0</v>
      </c>
      <c r="DI26" s="5">
        <v>0</v>
      </c>
      <c r="DJ26" s="5">
        <v>0</v>
      </c>
      <c r="DK26" s="6">
        <v>0</v>
      </c>
    </row>
    <row r="27" spans="1:115" x14ac:dyDescent="0.15">
      <c r="A27" s="4">
        <v>0</v>
      </c>
      <c r="B27" s="5">
        <v>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7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0</v>
      </c>
      <c r="DD27" s="5">
        <v>0</v>
      </c>
      <c r="DE27" s="5">
        <v>0</v>
      </c>
      <c r="DF27" s="5">
        <v>0</v>
      </c>
      <c r="DG27" s="5">
        <v>0</v>
      </c>
      <c r="DH27" s="5">
        <v>0</v>
      </c>
      <c r="DI27" s="5">
        <v>0</v>
      </c>
      <c r="DJ27" s="5">
        <v>0</v>
      </c>
      <c r="DK27" s="6">
        <v>0</v>
      </c>
    </row>
    <row r="28" spans="1:115" x14ac:dyDescent="0.15">
      <c r="A28" s="4">
        <v>0</v>
      </c>
      <c r="B28" s="5">
        <v>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0</v>
      </c>
      <c r="DD28" s="5">
        <v>0</v>
      </c>
      <c r="DE28" s="5">
        <v>0</v>
      </c>
      <c r="DF28" s="5">
        <v>0</v>
      </c>
      <c r="DG28" s="5">
        <v>0</v>
      </c>
      <c r="DH28" s="5">
        <v>0</v>
      </c>
      <c r="DI28" s="5">
        <v>0</v>
      </c>
      <c r="DJ28" s="5">
        <v>0</v>
      </c>
      <c r="DK28" s="6">
        <v>0</v>
      </c>
    </row>
    <row r="29" spans="1:115" x14ac:dyDescent="0.15">
      <c r="A29" s="4">
        <v>0</v>
      </c>
      <c r="B29" s="5">
        <v>0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0</v>
      </c>
      <c r="DD29" s="5">
        <v>0</v>
      </c>
      <c r="DE29" s="5">
        <v>0</v>
      </c>
      <c r="DF29" s="5">
        <v>0</v>
      </c>
      <c r="DG29" s="5">
        <v>0</v>
      </c>
      <c r="DH29" s="5">
        <v>0</v>
      </c>
      <c r="DI29" s="5">
        <v>0</v>
      </c>
      <c r="DJ29" s="5">
        <v>0</v>
      </c>
      <c r="DK29" s="6">
        <v>0</v>
      </c>
    </row>
    <row r="30" spans="1:115" x14ac:dyDescent="0.15">
      <c r="A30" s="4">
        <v>0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0</v>
      </c>
      <c r="DD30" s="5">
        <v>0</v>
      </c>
      <c r="DE30" s="5">
        <v>0</v>
      </c>
      <c r="DF30" s="5">
        <v>0</v>
      </c>
      <c r="DG30" s="5">
        <v>0</v>
      </c>
      <c r="DH30" s="5">
        <v>0</v>
      </c>
      <c r="DI30" s="5">
        <v>0</v>
      </c>
      <c r="DJ30" s="5">
        <v>0</v>
      </c>
      <c r="DK30" s="6">
        <v>0</v>
      </c>
    </row>
    <row r="31" spans="1:115" x14ac:dyDescent="0.15">
      <c r="A31" s="4">
        <v>0</v>
      </c>
      <c r="B31" s="5">
        <v>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0</v>
      </c>
      <c r="DD31" s="5">
        <v>0</v>
      </c>
      <c r="DE31" s="5">
        <v>0</v>
      </c>
      <c r="DF31" s="5">
        <v>0</v>
      </c>
      <c r="DG31" s="5">
        <v>0</v>
      </c>
      <c r="DH31" s="5">
        <v>0</v>
      </c>
      <c r="DI31" s="5">
        <v>0</v>
      </c>
      <c r="DJ31" s="5">
        <v>0</v>
      </c>
      <c r="DK31" s="6">
        <v>0</v>
      </c>
    </row>
    <row r="32" spans="1:115" x14ac:dyDescent="0.15">
      <c r="A32" s="4">
        <v>0</v>
      </c>
      <c r="B32" s="5">
        <v>0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0</v>
      </c>
      <c r="BA32" s="5">
        <v>0</v>
      </c>
      <c r="BB32" s="5">
        <v>0</v>
      </c>
      <c r="BC32" s="5">
        <v>0</v>
      </c>
      <c r="BD32" s="5">
        <v>0</v>
      </c>
      <c r="BE32" s="5">
        <v>0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0</v>
      </c>
      <c r="CL32" s="5">
        <v>0</v>
      </c>
      <c r="CM32" s="5">
        <v>0</v>
      </c>
      <c r="CN32" s="5">
        <v>0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0</v>
      </c>
      <c r="DD32" s="5">
        <v>0</v>
      </c>
      <c r="DE32" s="5">
        <v>0</v>
      </c>
      <c r="DF32" s="5">
        <v>0</v>
      </c>
      <c r="DG32" s="5">
        <v>0</v>
      </c>
      <c r="DH32" s="5">
        <v>0</v>
      </c>
      <c r="DI32" s="5">
        <v>0</v>
      </c>
      <c r="DJ32" s="5">
        <v>0</v>
      </c>
      <c r="DK32" s="6">
        <v>0</v>
      </c>
    </row>
    <row r="33" spans="1:115" x14ac:dyDescent="0.15">
      <c r="A33" s="4">
        <v>0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0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5">
        <v>0</v>
      </c>
      <c r="BM33" s="5">
        <v>0</v>
      </c>
      <c r="BN33" s="5">
        <v>0</v>
      </c>
      <c r="BO33" s="5">
        <v>0</v>
      </c>
      <c r="BP33" s="5">
        <v>0</v>
      </c>
      <c r="BQ33" s="5">
        <v>0</v>
      </c>
      <c r="BR33" s="5">
        <v>0</v>
      </c>
      <c r="BS33" s="5">
        <v>0</v>
      </c>
      <c r="BT33" s="5">
        <v>0</v>
      </c>
      <c r="BU33" s="5">
        <v>0</v>
      </c>
      <c r="BV33" s="5">
        <v>0</v>
      </c>
      <c r="BW33" s="5">
        <v>0</v>
      </c>
      <c r="BX33" s="5">
        <v>0</v>
      </c>
      <c r="BY33" s="5">
        <v>0</v>
      </c>
      <c r="BZ33" s="5">
        <v>0</v>
      </c>
      <c r="CA33" s="5">
        <v>0</v>
      </c>
      <c r="CB33" s="5">
        <v>0</v>
      </c>
      <c r="CC33" s="5">
        <v>0</v>
      </c>
      <c r="CD33" s="5">
        <v>0</v>
      </c>
      <c r="CE33" s="5">
        <v>0</v>
      </c>
      <c r="CF33" s="5">
        <v>0</v>
      </c>
      <c r="CG33" s="5">
        <v>0</v>
      </c>
      <c r="CH33" s="5">
        <v>0</v>
      </c>
      <c r="CI33" s="5">
        <v>0</v>
      </c>
      <c r="CJ33" s="5">
        <v>0</v>
      </c>
      <c r="CK33" s="5">
        <v>0</v>
      </c>
      <c r="CL33" s="5">
        <v>0</v>
      </c>
      <c r="CM33" s="5">
        <v>0</v>
      </c>
      <c r="CN33" s="5">
        <v>0</v>
      </c>
      <c r="CO33" s="5">
        <v>0</v>
      </c>
      <c r="CP33" s="5">
        <v>0</v>
      </c>
      <c r="CQ33" s="5">
        <v>0</v>
      </c>
      <c r="CR33" s="5">
        <v>0</v>
      </c>
      <c r="CS33" s="5">
        <v>0</v>
      </c>
      <c r="CT33" s="5">
        <v>0</v>
      </c>
      <c r="CU33" s="5">
        <v>0</v>
      </c>
      <c r="CV33" s="5">
        <v>0</v>
      </c>
      <c r="CW33" s="5">
        <v>0</v>
      </c>
      <c r="CX33" s="5">
        <v>0</v>
      </c>
      <c r="CY33" s="5">
        <v>0</v>
      </c>
      <c r="CZ33" s="5">
        <v>0</v>
      </c>
      <c r="DA33" s="5">
        <v>0</v>
      </c>
      <c r="DB33" s="5">
        <v>0</v>
      </c>
      <c r="DC33" s="5">
        <v>0</v>
      </c>
      <c r="DD33" s="5">
        <v>0</v>
      </c>
      <c r="DE33" s="5">
        <v>0</v>
      </c>
      <c r="DF33" s="5">
        <v>0</v>
      </c>
      <c r="DG33" s="5">
        <v>0</v>
      </c>
      <c r="DH33" s="5">
        <v>0</v>
      </c>
      <c r="DI33" s="5">
        <v>0</v>
      </c>
      <c r="DJ33" s="5">
        <v>0</v>
      </c>
      <c r="DK33" s="6">
        <v>0</v>
      </c>
    </row>
    <row r="34" spans="1:115" x14ac:dyDescent="0.15">
      <c r="A34" s="4">
        <v>0</v>
      </c>
      <c r="B34" s="5">
        <v>0</v>
      </c>
      <c r="C34" s="5">
        <v>0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0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0</v>
      </c>
      <c r="BA34" s="5">
        <v>0</v>
      </c>
      <c r="BB34" s="5">
        <v>0</v>
      </c>
      <c r="BC34" s="5">
        <v>0</v>
      </c>
      <c r="BD34" s="5">
        <v>0</v>
      </c>
      <c r="BE34" s="5">
        <v>0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5">
        <v>0</v>
      </c>
      <c r="BM34" s="5">
        <v>0</v>
      </c>
      <c r="BN34" s="5">
        <v>0</v>
      </c>
      <c r="BO34" s="5">
        <v>0</v>
      </c>
      <c r="BP34" s="5">
        <v>0</v>
      </c>
      <c r="BQ34" s="5">
        <v>0</v>
      </c>
      <c r="BR34" s="5">
        <v>0</v>
      </c>
      <c r="BS34" s="5">
        <v>0</v>
      </c>
      <c r="BT34" s="5">
        <v>0</v>
      </c>
      <c r="BU34" s="5">
        <v>0</v>
      </c>
      <c r="BV34" s="5">
        <v>0</v>
      </c>
      <c r="BW34" s="5">
        <v>0</v>
      </c>
      <c r="BX34" s="5">
        <v>0</v>
      </c>
      <c r="BY34" s="5">
        <v>0</v>
      </c>
      <c r="BZ34" s="5">
        <v>0</v>
      </c>
      <c r="CA34" s="5">
        <v>0</v>
      </c>
      <c r="CB34" s="5">
        <v>0</v>
      </c>
      <c r="CC34" s="5">
        <v>0</v>
      </c>
      <c r="CD34" s="5">
        <v>0</v>
      </c>
      <c r="CE34" s="5">
        <v>0</v>
      </c>
      <c r="CF34" s="5">
        <v>0</v>
      </c>
      <c r="CG34" s="5">
        <v>0</v>
      </c>
      <c r="CH34" s="5">
        <v>0</v>
      </c>
      <c r="CI34" s="5">
        <v>0</v>
      </c>
      <c r="CJ34" s="5">
        <v>0</v>
      </c>
      <c r="CK34" s="5">
        <v>0</v>
      </c>
      <c r="CL34" s="5">
        <v>0</v>
      </c>
      <c r="CM34" s="5">
        <v>0</v>
      </c>
      <c r="CN34" s="5">
        <v>0</v>
      </c>
      <c r="CO34" s="5">
        <v>0</v>
      </c>
      <c r="CP34" s="5">
        <v>0</v>
      </c>
      <c r="CQ34" s="5">
        <v>0</v>
      </c>
      <c r="CR34" s="5">
        <v>0</v>
      </c>
      <c r="CS34" s="5">
        <v>0</v>
      </c>
      <c r="CT34" s="5">
        <v>0</v>
      </c>
      <c r="CU34" s="5">
        <v>0</v>
      </c>
      <c r="CV34" s="5">
        <v>0</v>
      </c>
      <c r="CW34" s="5">
        <v>0</v>
      </c>
      <c r="CX34" s="5">
        <v>0</v>
      </c>
      <c r="CY34" s="5">
        <v>0</v>
      </c>
      <c r="CZ34" s="5">
        <v>0</v>
      </c>
      <c r="DA34" s="5">
        <v>0</v>
      </c>
      <c r="DB34" s="5">
        <v>0</v>
      </c>
      <c r="DC34" s="5">
        <v>0</v>
      </c>
      <c r="DD34" s="5">
        <v>0</v>
      </c>
      <c r="DE34" s="5">
        <v>0</v>
      </c>
      <c r="DF34" s="5">
        <v>0</v>
      </c>
      <c r="DG34" s="5">
        <v>0</v>
      </c>
      <c r="DH34" s="5">
        <v>0</v>
      </c>
      <c r="DI34" s="5">
        <v>0</v>
      </c>
      <c r="DJ34" s="5">
        <v>0</v>
      </c>
      <c r="DK34" s="6">
        <v>0</v>
      </c>
    </row>
    <row r="35" spans="1:115" x14ac:dyDescent="0.15">
      <c r="A35" s="4">
        <v>0</v>
      </c>
      <c r="B35" s="5">
        <v>0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0</v>
      </c>
      <c r="BA35" s="5">
        <v>0</v>
      </c>
      <c r="BB35" s="5">
        <v>0</v>
      </c>
      <c r="BC35" s="5">
        <v>0</v>
      </c>
      <c r="BD35" s="5">
        <v>0</v>
      </c>
      <c r="BE35" s="5">
        <v>0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5">
        <v>0</v>
      </c>
      <c r="BM35" s="5">
        <v>0</v>
      </c>
      <c r="BN35" s="5">
        <v>0</v>
      </c>
      <c r="BO35" s="5">
        <v>0</v>
      </c>
      <c r="BP35" s="5">
        <v>0</v>
      </c>
      <c r="BQ35" s="5">
        <v>0</v>
      </c>
      <c r="BR35" s="5">
        <v>0</v>
      </c>
      <c r="BS35" s="5">
        <v>0</v>
      </c>
      <c r="BT35" s="5">
        <v>0</v>
      </c>
      <c r="BU35" s="5">
        <v>0</v>
      </c>
      <c r="BV35" s="5">
        <v>0</v>
      </c>
      <c r="BW35" s="5">
        <v>0</v>
      </c>
      <c r="BX35" s="5">
        <v>0</v>
      </c>
      <c r="BY35" s="5">
        <v>0</v>
      </c>
      <c r="BZ35" s="5">
        <v>0</v>
      </c>
      <c r="CA35" s="5">
        <v>0</v>
      </c>
      <c r="CB35" s="5">
        <v>0</v>
      </c>
      <c r="CC35" s="5">
        <v>0</v>
      </c>
      <c r="CD35" s="5">
        <v>0</v>
      </c>
      <c r="CE35" s="5">
        <v>0</v>
      </c>
      <c r="CF35" s="5">
        <v>0</v>
      </c>
      <c r="CG35" s="5">
        <v>0</v>
      </c>
      <c r="CH35" s="5">
        <v>0</v>
      </c>
      <c r="CI35" s="5">
        <v>0</v>
      </c>
      <c r="CJ35" s="5">
        <v>0</v>
      </c>
      <c r="CK35" s="5">
        <v>0</v>
      </c>
      <c r="CL35" s="5">
        <v>0</v>
      </c>
      <c r="CM35" s="5">
        <v>0</v>
      </c>
      <c r="CN35" s="5">
        <v>0</v>
      </c>
      <c r="CO35" s="5">
        <v>0</v>
      </c>
      <c r="CP35" s="5">
        <v>0</v>
      </c>
      <c r="CQ35" s="5">
        <v>0</v>
      </c>
      <c r="CR35" s="5">
        <v>0</v>
      </c>
      <c r="CS35" s="5">
        <v>0</v>
      </c>
      <c r="CT35" s="5">
        <v>0</v>
      </c>
      <c r="CU35" s="5">
        <v>0</v>
      </c>
      <c r="CV35" s="5">
        <v>0</v>
      </c>
      <c r="CW35" s="5">
        <v>0</v>
      </c>
      <c r="CX35" s="5">
        <v>0</v>
      </c>
      <c r="CY35" s="5">
        <v>0</v>
      </c>
      <c r="CZ35" s="5">
        <v>0</v>
      </c>
      <c r="DA35" s="5">
        <v>0</v>
      </c>
      <c r="DB35" s="5">
        <v>0</v>
      </c>
      <c r="DC35" s="5">
        <v>0</v>
      </c>
      <c r="DD35" s="5">
        <v>0</v>
      </c>
      <c r="DE35" s="5">
        <v>0</v>
      </c>
      <c r="DF35" s="5">
        <v>0</v>
      </c>
      <c r="DG35" s="5">
        <v>0</v>
      </c>
      <c r="DH35" s="5">
        <v>0</v>
      </c>
      <c r="DI35" s="5">
        <v>0</v>
      </c>
      <c r="DJ35" s="5">
        <v>0</v>
      </c>
      <c r="DK35" s="6">
        <v>0</v>
      </c>
    </row>
    <row r="36" spans="1:115" x14ac:dyDescent="0.15">
      <c r="A36" s="4">
        <v>0</v>
      </c>
      <c r="B36" s="5">
        <v>0</v>
      </c>
      <c r="C36" s="5">
        <v>0</v>
      </c>
      <c r="D36" s="5">
        <v>0</v>
      </c>
      <c r="E36" s="5">
        <v>0</v>
      </c>
      <c r="F36" s="5">
        <v>0</v>
      </c>
      <c r="G36" s="5">
        <v>0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0</v>
      </c>
      <c r="BA36" s="5">
        <v>0</v>
      </c>
      <c r="BB36" s="5">
        <v>0</v>
      </c>
      <c r="BC36" s="5">
        <v>0</v>
      </c>
      <c r="BD36" s="5">
        <v>0</v>
      </c>
      <c r="BE36" s="5">
        <v>0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5">
        <v>0</v>
      </c>
      <c r="BM36" s="5">
        <v>0</v>
      </c>
      <c r="BN36" s="5">
        <v>0</v>
      </c>
      <c r="BO36" s="5">
        <v>0</v>
      </c>
      <c r="BP36" s="5">
        <v>0</v>
      </c>
      <c r="BQ36" s="5">
        <v>0</v>
      </c>
      <c r="BR36" s="5">
        <v>0</v>
      </c>
      <c r="BS36" s="5">
        <v>0</v>
      </c>
      <c r="BT36" s="5">
        <v>0</v>
      </c>
      <c r="BU36" s="5">
        <v>0</v>
      </c>
      <c r="BV36" s="5">
        <v>0</v>
      </c>
      <c r="BW36" s="5">
        <v>0</v>
      </c>
      <c r="BX36" s="5">
        <v>0</v>
      </c>
      <c r="BY36" s="5">
        <v>0</v>
      </c>
      <c r="BZ36" s="5">
        <v>0</v>
      </c>
      <c r="CA36" s="5">
        <v>0</v>
      </c>
      <c r="CB36" s="5">
        <v>0</v>
      </c>
      <c r="CC36" s="5">
        <v>0</v>
      </c>
      <c r="CD36" s="5">
        <v>0</v>
      </c>
      <c r="CE36" s="5">
        <v>0</v>
      </c>
      <c r="CF36" s="5">
        <v>0</v>
      </c>
      <c r="CG36" s="5">
        <v>0</v>
      </c>
      <c r="CH36" s="5">
        <v>0</v>
      </c>
      <c r="CI36" s="5">
        <v>0</v>
      </c>
      <c r="CJ36" s="5">
        <v>0</v>
      </c>
      <c r="CK36" s="5">
        <v>0</v>
      </c>
      <c r="CL36" s="5">
        <v>0</v>
      </c>
      <c r="CM36" s="5">
        <v>0</v>
      </c>
      <c r="CN36" s="5">
        <v>0</v>
      </c>
      <c r="CO36" s="5">
        <v>0</v>
      </c>
      <c r="CP36" s="5">
        <v>0</v>
      </c>
      <c r="CQ36" s="5">
        <v>0</v>
      </c>
      <c r="CR36" s="5">
        <v>0</v>
      </c>
      <c r="CS36" s="5">
        <v>0</v>
      </c>
      <c r="CT36" s="5">
        <v>0</v>
      </c>
      <c r="CU36" s="5">
        <v>0</v>
      </c>
      <c r="CV36" s="5">
        <v>0</v>
      </c>
      <c r="CW36" s="5">
        <v>0</v>
      </c>
      <c r="CX36" s="5">
        <v>0</v>
      </c>
      <c r="CY36" s="5">
        <v>0</v>
      </c>
      <c r="CZ36" s="5">
        <v>0</v>
      </c>
      <c r="DA36" s="5">
        <v>0</v>
      </c>
      <c r="DB36" s="5">
        <v>0</v>
      </c>
      <c r="DC36" s="5">
        <v>0</v>
      </c>
      <c r="DD36" s="5">
        <v>0</v>
      </c>
      <c r="DE36" s="5">
        <v>0</v>
      </c>
      <c r="DF36" s="5">
        <v>0</v>
      </c>
      <c r="DG36" s="5">
        <v>0</v>
      </c>
      <c r="DH36" s="5">
        <v>0</v>
      </c>
      <c r="DI36" s="5">
        <v>0</v>
      </c>
      <c r="DJ36" s="5">
        <v>0</v>
      </c>
      <c r="DK36" s="6">
        <v>0</v>
      </c>
    </row>
    <row r="37" spans="1:115" x14ac:dyDescent="0.15">
      <c r="A37" s="4">
        <v>0</v>
      </c>
      <c r="B37" s="5">
        <v>0</v>
      </c>
      <c r="C37" s="5">
        <v>0</v>
      </c>
      <c r="D37" s="5">
        <v>0</v>
      </c>
      <c r="E37" s="5">
        <v>0</v>
      </c>
      <c r="F37" s="5">
        <v>0</v>
      </c>
      <c r="G37" s="5">
        <v>0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5">
        <v>0</v>
      </c>
      <c r="BM37" s="5">
        <v>0</v>
      </c>
      <c r="BN37" s="5">
        <v>0</v>
      </c>
      <c r="BO37" s="5">
        <v>0</v>
      </c>
      <c r="BP37" s="5">
        <v>0</v>
      </c>
      <c r="BQ37" s="5">
        <v>0</v>
      </c>
      <c r="BR37" s="5">
        <v>0</v>
      </c>
      <c r="BS37" s="5">
        <v>0</v>
      </c>
      <c r="BT37" s="5">
        <v>0</v>
      </c>
      <c r="BU37" s="5">
        <v>0</v>
      </c>
      <c r="BV37" s="5">
        <v>0</v>
      </c>
      <c r="BW37" s="5">
        <v>0</v>
      </c>
      <c r="BX37" s="5">
        <v>0</v>
      </c>
      <c r="BY37" s="5">
        <v>0</v>
      </c>
      <c r="BZ37" s="5">
        <v>0</v>
      </c>
      <c r="CA37" s="5">
        <v>0</v>
      </c>
      <c r="CB37" s="5">
        <v>0</v>
      </c>
      <c r="CC37" s="5">
        <v>0</v>
      </c>
      <c r="CD37" s="5">
        <v>0</v>
      </c>
      <c r="CE37" s="5">
        <v>0</v>
      </c>
      <c r="CF37" s="5">
        <v>0</v>
      </c>
      <c r="CG37" s="5">
        <v>0</v>
      </c>
      <c r="CH37" s="5">
        <v>0</v>
      </c>
      <c r="CI37" s="5">
        <v>0</v>
      </c>
      <c r="CJ37" s="5">
        <v>0</v>
      </c>
      <c r="CK37" s="5">
        <v>0</v>
      </c>
      <c r="CL37" s="5">
        <v>0</v>
      </c>
      <c r="CM37" s="5">
        <v>0</v>
      </c>
      <c r="CN37" s="5">
        <v>0</v>
      </c>
      <c r="CO37" s="5">
        <v>0</v>
      </c>
      <c r="CP37" s="5">
        <v>0</v>
      </c>
      <c r="CQ37" s="5">
        <v>0</v>
      </c>
      <c r="CR37" s="5">
        <v>0</v>
      </c>
      <c r="CS37" s="5">
        <v>0</v>
      </c>
      <c r="CT37" s="5">
        <v>0</v>
      </c>
      <c r="CU37" s="5">
        <v>0</v>
      </c>
      <c r="CV37" s="5">
        <v>0</v>
      </c>
      <c r="CW37" s="5">
        <v>0</v>
      </c>
      <c r="CX37" s="5">
        <v>0</v>
      </c>
      <c r="CY37" s="5">
        <v>0</v>
      </c>
      <c r="CZ37" s="5">
        <v>0</v>
      </c>
      <c r="DA37" s="5">
        <v>0</v>
      </c>
      <c r="DB37" s="5">
        <v>0</v>
      </c>
      <c r="DC37" s="5">
        <v>0</v>
      </c>
      <c r="DD37" s="5">
        <v>0</v>
      </c>
      <c r="DE37" s="5">
        <v>0</v>
      </c>
      <c r="DF37" s="5">
        <v>0</v>
      </c>
      <c r="DG37" s="5">
        <v>0</v>
      </c>
      <c r="DH37" s="5">
        <v>0</v>
      </c>
      <c r="DI37" s="5">
        <v>0</v>
      </c>
      <c r="DJ37" s="5">
        <v>0</v>
      </c>
      <c r="DK37" s="6">
        <v>0</v>
      </c>
    </row>
    <row r="38" spans="1:115" x14ac:dyDescent="0.15">
      <c r="A38" s="4">
        <v>0</v>
      </c>
      <c r="B38" s="5">
        <v>0</v>
      </c>
      <c r="C38" s="5">
        <v>0</v>
      </c>
      <c r="D38" s="5">
        <v>0</v>
      </c>
      <c r="E38" s="5">
        <v>0</v>
      </c>
      <c r="F38" s="5">
        <v>0</v>
      </c>
      <c r="G38" s="5">
        <v>0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5">
        <v>0</v>
      </c>
      <c r="BM38" s="5">
        <v>0</v>
      </c>
      <c r="BN38" s="5">
        <v>0</v>
      </c>
      <c r="BO38" s="5">
        <v>0</v>
      </c>
      <c r="BP38" s="5">
        <v>0</v>
      </c>
      <c r="BQ38" s="5">
        <v>0</v>
      </c>
      <c r="BR38" s="5">
        <v>0</v>
      </c>
      <c r="BS38" s="5">
        <v>0</v>
      </c>
      <c r="BT38" s="5">
        <v>0</v>
      </c>
      <c r="BU38" s="5">
        <v>0</v>
      </c>
      <c r="BV38" s="5">
        <v>0</v>
      </c>
      <c r="BW38" s="5">
        <v>0</v>
      </c>
      <c r="BX38" s="5">
        <v>0</v>
      </c>
      <c r="BY38" s="5">
        <v>0</v>
      </c>
      <c r="BZ38" s="5">
        <v>0</v>
      </c>
      <c r="CA38" s="5">
        <v>0</v>
      </c>
      <c r="CB38" s="5">
        <v>0</v>
      </c>
      <c r="CC38" s="5">
        <v>0</v>
      </c>
      <c r="CD38" s="5">
        <v>0</v>
      </c>
      <c r="CE38" s="5">
        <v>0</v>
      </c>
      <c r="CF38" s="5">
        <v>0</v>
      </c>
      <c r="CG38" s="5">
        <v>0</v>
      </c>
      <c r="CH38" s="5">
        <v>0</v>
      </c>
      <c r="CI38" s="5">
        <v>0</v>
      </c>
      <c r="CJ38" s="5">
        <v>0</v>
      </c>
      <c r="CK38" s="5">
        <v>0</v>
      </c>
      <c r="CL38" s="5">
        <v>0</v>
      </c>
      <c r="CM38" s="5">
        <v>0</v>
      </c>
      <c r="CN38" s="5">
        <v>0</v>
      </c>
      <c r="CO38" s="5">
        <v>0</v>
      </c>
      <c r="CP38" s="5">
        <v>0</v>
      </c>
      <c r="CQ38" s="5">
        <v>0</v>
      </c>
      <c r="CR38" s="5">
        <v>0</v>
      </c>
      <c r="CS38" s="5">
        <v>0</v>
      </c>
      <c r="CT38" s="5">
        <v>0</v>
      </c>
      <c r="CU38" s="5">
        <v>0</v>
      </c>
      <c r="CV38" s="5">
        <v>0</v>
      </c>
      <c r="CW38" s="5">
        <v>0</v>
      </c>
      <c r="CX38" s="5">
        <v>0</v>
      </c>
      <c r="CY38" s="5">
        <v>0</v>
      </c>
      <c r="CZ38" s="5">
        <v>0</v>
      </c>
      <c r="DA38" s="5">
        <v>0</v>
      </c>
      <c r="DB38" s="5">
        <v>0</v>
      </c>
      <c r="DC38" s="5">
        <v>0</v>
      </c>
      <c r="DD38" s="5">
        <v>0</v>
      </c>
      <c r="DE38" s="5">
        <v>0</v>
      </c>
      <c r="DF38" s="5">
        <v>0</v>
      </c>
      <c r="DG38" s="5">
        <v>0</v>
      </c>
      <c r="DH38" s="5">
        <v>0</v>
      </c>
      <c r="DI38" s="5">
        <v>0</v>
      </c>
      <c r="DJ38" s="5">
        <v>0</v>
      </c>
      <c r="DK38" s="6">
        <v>0</v>
      </c>
    </row>
    <row r="39" spans="1:115" x14ac:dyDescent="0.15">
      <c r="A39" s="4">
        <v>0</v>
      </c>
      <c r="B39" s="5">
        <v>0</v>
      </c>
      <c r="C39" s="5">
        <v>0</v>
      </c>
      <c r="D39" s="5">
        <v>0</v>
      </c>
      <c r="E39" s="5">
        <v>0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0</v>
      </c>
      <c r="BA39" s="5">
        <v>0</v>
      </c>
      <c r="BB39" s="5">
        <v>0</v>
      </c>
      <c r="BC39" s="5">
        <v>0</v>
      </c>
      <c r="BD39" s="5">
        <v>0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5">
        <v>0</v>
      </c>
      <c r="BM39" s="5">
        <v>0</v>
      </c>
      <c r="BN39" s="5">
        <v>0</v>
      </c>
      <c r="BO39" s="5">
        <v>0</v>
      </c>
      <c r="BP39" s="5">
        <v>0</v>
      </c>
      <c r="BQ39" s="5">
        <v>0</v>
      </c>
      <c r="BR39" s="5">
        <v>0</v>
      </c>
      <c r="BS39" s="5">
        <v>0</v>
      </c>
      <c r="BT39" s="5">
        <v>0</v>
      </c>
      <c r="BU39" s="5">
        <v>0</v>
      </c>
      <c r="BV39" s="5">
        <v>0</v>
      </c>
      <c r="BW39" s="5">
        <v>0</v>
      </c>
      <c r="BX39" s="5">
        <v>0</v>
      </c>
      <c r="BY39" s="5">
        <v>0</v>
      </c>
      <c r="BZ39" s="5">
        <v>0</v>
      </c>
      <c r="CA39" s="5">
        <v>0</v>
      </c>
      <c r="CB39" s="5">
        <v>0</v>
      </c>
      <c r="CC39" s="5">
        <v>0</v>
      </c>
      <c r="CD39" s="5">
        <v>0</v>
      </c>
      <c r="CE39" s="5">
        <v>0</v>
      </c>
      <c r="CF39" s="5">
        <v>0</v>
      </c>
      <c r="CG39" s="5">
        <v>0</v>
      </c>
      <c r="CH39" s="5">
        <v>0</v>
      </c>
      <c r="CI39" s="5">
        <v>0</v>
      </c>
      <c r="CJ39" s="5">
        <v>0</v>
      </c>
      <c r="CK39" s="5">
        <v>0</v>
      </c>
      <c r="CL39" s="5">
        <v>0</v>
      </c>
      <c r="CM39" s="5">
        <v>0</v>
      </c>
      <c r="CN39" s="5">
        <v>0</v>
      </c>
      <c r="CO39" s="5">
        <v>0</v>
      </c>
      <c r="CP39" s="5">
        <v>0</v>
      </c>
      <c r="CQ39" s="5">
        <v>0</v>
      </c>
      <c r="CR39" s="5">
        <v>0</v>
      </c>
      <c r="CS39" s="5">
        <v>0</v>
      </c>
      <c r="CT39" s="5">
        <v>0</v>
      </c>
      <c r="CU39" s="5">
        <v>0</v>
      </c>
      <c r="CV39" s="5">
        <v>0</v>
      </c>
      <c r="CW39" s="5">
        <v>0</v>
      </c>
      <c r="CX39" s="5">
        <v>0</v>
      </c>
      <c r="CY39" s="5">
        <v>0</v>
      </c>
      <c r="CZ39" s="5">
        <v>0</v>
      </c>
      <c r="DA39" s="5">
        <v>0</v>
      </c>
      <c r="DB39" s="5">
        <v>0</v>
      </c>
      <c r="DC39" s="5">
        <v>0</v>
      </c>
      <c r="DD39" s="5">
        <v>0</v>
      </c>
      <c r="DE39" s="5">
        <v>0</v>
      </c>
      <c r="DF39" s="5">
        <v>0</v>
      </c>
      <c r="DG39" s="5">
        <v>0</v>
      </c>
      <c r="DH39" s="5">
        <v>0</v>
      </c>
      <c r="DI39" s="5">
        <v>0</v>
      </c>
      <c r="DJ39" s="5">
        <v>0</v>
      </c>
      <c r="DK39" s="6">
        <v>0</v>
      </c>
    </row>
    <row r="40" spans="1:115" x14ac:dyDescent="0.15">
      <c r="A40" s="4">
        <v>0</v>
      </c>
      <c r="B40" s="5">
        <v>0</v>
      </c>
      <c r="C40" s="5">
        <v>0</v>
      </c>
      <c r="D40" s="5">
        <v>0</v>
      </c>
      <c r="E40" s="5">
        <v>0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0</v>
      </c>
      <c r="BA40" s="5">
        <v>0</v>
      </c>
      <c r="BB40" s="5">
        <v>0</v>
      </c>
      <c r="BC40" s="5">
        <v>0</v>
      </c>
      <c r="BD40" s="5">
        <v>0</v>
      </c>
      <c r="BE40" s="5">
        <v>0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5">
        <v>0</v>
      </c>
      <c r="BM40" s="5">
        <v>0</v>
      </c>
      <c r="BN40" s="5">
        <v>0</v>
      </c>
      <c r="BO40" s="5">
        <v>0</v>
      </c>
      <c r="BP40" s="5">
        <v>0</v>
      </c>
      <c r="BQ40" s="5">
        <v>0</v>
      </c>
      <c r="BR40" s="5">
        <v>0</v>
      </c>
      <c r="BS40" s="5">
        <v>0</v>
      </c>
      <c r="BT40" s="5">
        <v>0</v>
      </c>
      <c r="BU40" s="5">
        <v>0</v>
      </c>
      <c r="BV40" s="5">
        <v>0</v>
      </c>
      <c r="BW40" s="5">
        <v>0</v>
      </c>
      <c r="BX40" s="5">
        <v>0</v>
      </c>
      <c r="BY40" s="5">
        <v>0</v>
      </c>
      <c r="BZ40" s="5">
        <v>0</v>
      </c>
      <c r="CA40" s="5">
        <v>0</v>
      </c>
      <c r="CB40" s="5">
        <v>0</v>
      </c>
      <c r="CC40" s="5">
        <v>0</v>
      </c>
      <c r="CD40" s="5">
        <v>0</v>
      </c>
      <c r="CE40" s="5">
        <v>0</v>
      </c>
      <c r="CF40" s="5">
        <v>0</v>
      </c>
      <c r="CG40" s="5">
        <v>0</v>
      </c>
      <c r="CH40" s="5">
        <v>0</v>
      </c>
      <c r="CI40" s="5">
        <v>0</v>
      </c>
      <c r="CJ40" s="5">
        <v>0</v>
      </c>
      <c r="CK40" s="5">
        <v>0</v>
      </c>
      <c r="CL40" s="5">
        <v>0</v>
      </c>
      <c r="CM40" s="5">
        <v>0</v>
      </c>
      <c r="CN40" s="5">
        <v>0</v>
      </c>
      <c r="CO40" s="5">
        <v>0</v>
      </c>
      <c r="CP40" s="5">
        <v>0</v>
      </c>
      <c r="CQ40" s="5">
        <v>0</v>
      </c>
      <c r="CR40" s="5">
        <v>0</v>
      </c>
      <c r="CS40" s="5">
        <v>0</v>
      </c>
      <c r="CT40" s="5">
        <v>0</v>
      </c>
      <c r="CU40" s="5">
        <v>0</v>
      </c>
      <c r="CV40" s="5">
        <v>0</v>
      </c>
      <c r="CW40" s="5">
        <v>0</v>
      </c>
      <c r="CX40" s="5">
        <v>0</v>
      </c>
      <c r="CY40" s="5">
        <v>0</v>
      </c>
      <c r="CZ40" s="5">
        <v>0</v>
      </c>
      <c r="DA40" s="5">
        <v>0</v>
      </c>
      <c r="DB40" s="5">
        <v>0</v>
      </c>
      <c r="DC40" s="5">
        <v>0</v>
      </c>
      <c r="DD40" s="5">
        <v>0</v>
      </c>
      <c r="DE40" s="5">
        <v>0</v>
      </c>
      <c r="DF40" s="5">
        <v>0</v>
      </c>
      <c r="DG40" s="5">
        <v>0</v>
      </c>
      <c r="DH40" s="5">
        <v>0</v>
      </c>
      <c r="DI40" s="5">
        <v>0</v>
      </c>
      <c r="DJ40" s="5">
        <v>0</v>
      </c>
      <c r="DK40" s="6">
        <v>0</v>
      </c>
    </row>
    <row r="41" spans="1:115" x14ac:dyDescent="0.15">
      <c r="A41" s="4">
        <v>0</v>
      </c>
      <c r="B41" s="5">
        <v>0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5">
        <v>0</v>
      </c>
      <c r="BM41" s="5">
        <v>0</v>
      </c>
      <c r="BN41" s="5">
        <v>0</v>
      </c>
      <c r="BO41" s="5">
        <v>0</v>
      </c>
      <c r="BP41" s="5">
        <v>0</v>
      </c>
      <c r="BQ41" s="5">
        <v>0</v>
      </c>
      <c r="BR41" s="5">
        <v>0</v>
      </c>
      <c r="BS41" s="5">
        <v>0</v>
      </c>
      <c r="BT41" s="5">
        <v>0</v>
      </c>
      <c r="BU41" s="5">
        <v>0</v>
      </c>
      <c r="BV41" s="5">
        <v>0</v>
      </c>
      <c r="BW41" s="5">
        <v>0</v>
      </c>
      <c r="BX41" s="5">
        <v>0</v>
      </c>
      <c r="BY41" s="5">
        <v>0</v>
      </c>
      <c r="BZ41" s="5">
        <v>0</v>
      </c>
      <c r="CA41" s="5">
        <v>0</v>
      </c>
      <c r="CB41" s="5">
        <v>0</v>
      </c>
      <c r="CC41" s="5">
        <v>0</v>
      </c>
      <c r="CD41" s="5">
        <v>0</v>
      </c>
      <c r="CE41" s="5">
        <v>0</v>
      </c>
      <c r="CF41" s="5">
        <v>0</v>
      </c>
      <c r="CG41" s="5">
        <v>0</v>
      </c>
      <c r="CH41" s="5">
        <v>0</v>
      </c>
      <c r="CI41" s="5">
        <v>0</v>
      </c>
      <c r="CJ41" s="5">
        <v>0</v>
      </c>
      <c r="CK41" s="5">
        <v>0</v>
      </c>
      <c r="CL41" s="5">
        <v>0</v>
      </c>
      <c r="CM41" s="5">
        <v>0</v>
      </c>
      <c r="CN41" s="5">
        <v>0</v>
      </c>
      <c r="CO41" s="5">
        <v>0</v>
      </c>
      <c r="CP41" s="5">
        <v>0</v>
      </c>
      <c r="CQ41" s="5">
        <v>0</v>
      </c>
      <c r="CR41" s="5">
        <v>0</v>
      </c>
      <c r="CS41" s="5">
        <v>0</v>
      </c>
      <c r="CT41" s="5">
        <v>0</v>
      </c>
      <c r="CU41" s="5">
        <v>0</v>
      </c>
      <c r="CV41" s="5">
        <v>0</v>
      </c>
      <c r="CW41" s="5">
        <v>0</v>
      </c>
      <c r="CX41" s="5">
        <v>0</v>
      </c>
      <c r="CY41" s="5">
        <v>0</v>
      </c>
      <c r="CZ41" s="5">
        <v>0</v>
      </c>
      <c r="DA41" s="5">
        <v>0</v>
      </c>
      <c r="DB41" s="5">
        <v>0</v>
      </c>
      <c r="DC41" s="5">
        <v>0</v>
      </c>
      <c r="DD41" s="5">
        <v>0</v>
      </c>
      <c r="DE41" s="5">
        <v>0</v>
      </c>
      <c r="DF41" s="5">
        <v>0</v>
      </c>
      <c r="DG41" s="5">
        <v>0</v>
      </c>
      <c r="DH41" s="5">
        <v>0</v>
      </c>
      <c r="DI41" s="5">
        <v>0</v>
      </c>
      <c r="DJ41" s="5">
        <v>0</v>
      </c>
      <c r="DK41" s="6">
        <v>0</v>
      </c>
    </row>
    <row r="42" spans="1:115" x14ac:dyDescent="0.15">
      <c r="A42" s="4">
        <v>0</v>
      </c>
      <c r="B42" s="5">
        <v>0</v>
      </c>
      <c r="C42" s="5">
        <v>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0</v>
      </c>
      <c r="BA42" s="5">
        <v>0</v>
      </c>
      <c r="BB42" s="5">
        <v>0</v>
      </c>
      <c r="BC42" s="5">
        <v>0</v>
      </c>
      <c r="BD42" s="5">
        <v>0</v>
      </c>
      <c r="BE42" s="5">
        <v>0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5">
        <v>0</v>
      </c>
      <c r="BM42" s="5">
        <v>0</v>
      </c>
      <c r="BN42" s="5">
        <v>0</v>
      </c>
      <c r="BO42" s="5">
        <v>0</v>
      </c>
      <c r="BP42" s="5">
        <v>0</v>
      </c>
      <c r="BQ42" s="5">
        <v>0</v>
      </c>
      <c r="BR42" s="5">
        <v>0</v>
      </c>
      <c r="BS42" s="5">
        <v>0</v>
      </c>
      <c r="BT42" s="5">
        <v>0</v>
      </c>
      <c r="BU42" s="5">
        <v>0</v>
      </c>
      <c r="BV42" s="5">
        <v>0</v>
      </c>
      <c r="BW42" s="5">
        <v>0</v>
      </c>
      <c r="BX42" s="5">
        <v>0</v>
      </c>
      <c r="BY42" s="5">
        <v>0</v>
      </c>
      <c r="BZ42" s="5">
        <v>0</v>
      </c>
      <c r="CA42" s="5">
        <v>0</v>
      </c>
      <c r="CB42" s="5">
        <v>0</v>
      </c>
      <c r="CC42" s="5">
        <v>0</v>
      </c>
      <c r="CD42" s="5">
        <v>0</v>
      </c>
      <c r="CE42" s="5">
        <v>0</v>
      </c>
      <c r="CF42" s="5">
        <v>0</v>
      </c>
      <c r="CG42" s="5">
        <v>0</v>
      </c>
      <c r="CH42" s="5">
        <v>0</v>
      </c>
      <c r="CI42" s="5">
        <v>0</v>
      </c>
      <c r="CJ42" s="5">
        <v>0</v>
      </c>
      <c r="CK42" s="5">
        <v>0</v>
      </c>
      <c r="CL42" s="5">
        <v>0</v>
      </c>
      <c r="CM42" s="5">
        <v>0</v>
      </c>
      <c r="CN42" s="5">
        <v>0</v>
      </c>
      <c r="CO42" s="5">
        <v>0</v>
      </c>
      <c r="CP42" s="5">
        <v>0</v>
      </c>
      <c r="CQ42" s="5">
        <v>0</v>
      </c>
      <c r="CR42" s="5">
        <v>0</v>
      </c>
      <c r="CS42" s="5">
        <v>0</v>
      </c>
      <c r="CT42" s="5">
        <v>0</v>
      </c>
      <c r="CU42" s="5">
        <v>0</v>
      </c>
      <c r="CV42" s="5">
        <v>0</v>
      </c>
      <c r="CW42" s="5">
        <v>0</v>
      </c>
      <c r="CX42" s="5">
        <v>0</v>
      </c>
      <c r="CY42" s="5">
        <v>0</v>
      </c>
      <c r="CZ42" s="5">
        <v>0</v>
      </c>
      <c r="DA42" s="5">
        <v>0</v>
      </c>
      <c r="DB42" s="5">
        <v>0</v>
      </c>
      <c r="DC42" s="5">
        <v>0</v>
      </c>
      <c r="DD42" s="5">
        <v>0</v>
      </c>
      <c r="DE42" s="5">
        <v>0</v>
      </c>
      <c r="DF42" s="5">
        <v>0</v>
      </c>
      <c r="DG42" s="5">
        <v>0</v>
      </c>
      <c r="DH42" s="5">
        <v>0</v>
      </c>
      <c r="DI42" s="5">
        <v>0</v>
      </c>
      <c r="DJ42" s="5">
        <v>0</v>
      </c>
      <c r="DK42" s="6">
        <v>0</v>
      </c>
    </row>
    <row r="43" spans="1:115" x14ac:dyDescent="0.15">
      <c r="A43" s="4">
        <v>0</v>
      </c>
      <c r="B43" s="5">
        <v>0</v>
      </c>
      <c r="C43" s="5">
        <v>0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5">
        <v>0</v>
      </c>
      <c r="BM43" s="5">
        <v>0</v>
      </c>
      <c r="BN43" s="5">
        <v>0</v>
      </c>
      <c r="BO43" s="5">
        <v>0</v>
      </c>
      <c r="BP43" s="5">
        <v>0</v>
      </c>
      <c r="BQ43" s="5">
        <v>0</v>
      </c>
      <c r="BR43" s="5">
        <v>0</v>
      </c>
      <c r="BS43" s="5">
        <v>0</v>
      </c>
      <c r="BT43" s="5">
        <v>0</v>
      </c>
      <c r="BU43" s="5">
        <v>0</v>
      </c>
      <c r="BV43" s="5">
        <v>0</v>
      </c>
      <c r="BW43" s="5">
        <v>0</v>
      </c>
      <c r="BX43" s="5">
        <v>0</v>
      </c>
      <c r="BY43" s="5">
        <v>0</v>
      </c>
      <c r="BZ43" s="5">
        <v>0</v>
      </c>
      <c r="CA43" s="5">
        <v>0</v>
      </c>
      <c r="CB43" s="5">
        <v>0</v>
      </c>
      <c r="CC43" s="5">
        <v>0</v>
      </c>
      <c r="CD43" s="5">
        <v>0</v>
      </c>
      <c r="CE43" s="5">
        <v>0</v>
      </c>
      <c r="CF43" s="5">
        <v>0</v>
      </c>
      <c r="CG43" s="5">
        <v>0</v>
      </c>
      <c r="CH43" s="5">
        <v>0</v>
      </c>
      <c r="CI43" s="5">
        <v>0</v>
      </c>
      <c r="CJ43" s="5">
        <v>0</v>
      </c>
      <c r="CK43" s="5">
        <v>0</v>
      </c>
      <c r="CL43" s="5">
        <v>0</v>
      </c>
      <c r="CM43" s="5">
        <v>0</v>
      </c>
      <c r="CN43" s="5">
        <v>0</v>
      </c>
      <c r="CO43" s="5">
        <v>0</v>
      </c>
      <c r="CP43" s="5">
        <v>0</v>
      </c>
      <c r="CQ43" s="5">
        <v>0</v>
      </c>
      <c r="CR43" s="5">
        <v>0</v>
      </c>
      <c r="CS43" s="5">
        <v>0</v>
      </c>
      <c r="CT43" s="5">
        <v>0</v>
      </c>
      <c r="CU43" s="5">
        <v>0</v>
      </c>
      <c r="CV43" s="5">
        <v>0</v>
      </c>
      <c r="CW43" s="5">
        <v>0</v>
      </c>
      <c r="CX43" s="5">
        <v>0</v>
      </c>
      <c r="CY43" s="5">
        <v>0</v>
      </c>
      <c r="CZ43" s="5">
        <v>0</v>
      </c>
      <c r="DA43" s="5">
        <v>0</v>
      </c>
      <c r="DB43" s="5">
        <v>0</v>
      </c>
      <c r="DC43" s="5">
        <v>0</v>
      </c>
      <c r="DD43" s="5">
        <v>0</v>
      </c>
      <c r="DE43" s="5">
        <v>0</v>
      </c>
      <c r="DF43" s="5">
        <v>0</v>
      </c>
      <c r="DG43" s="5">
        <v>0</v>
      </c>
      <c r="DH43" s="5">
        <v>0</v>
      </c>
      <c r="DI43" s="5">
        <v>0</v>
      </c>
      <c r="DJ43" s="5">
        <v>0</v>
      </c>
      <c r="DK43" s="6">
        <v>0</v>
      </c>
    </row>
    <row r="44" spans="1:115" x14ac:dyDescent="0.15">
      <c r="A44" s="4">
        <v>0</v>
      </c>
      <c r="B44" s="5">
        <v>0</v>
      </c>
      <c r="C44" s="5">
        <v>0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5">
        <v>0</v>
      </c>
      <c r="BM44" s="5">
        <v>0</v>
      </c>
      <c r="BN44" s="5">
        <v>0</v>
      </c>
      <c r="BO44" s="5">
        <v>0</v>
      </c>
      <c r="BP44" s="5">
        <v>0</v>
      </c>
      <c r="BQ44" s="5">
        <v>0</v>
      </c>
      <c r="BR44" s="5">
        <v>0</v>
      </c>
      <c r="BS44" s="5">
        <v>0</v>
      </c>
      <c r="BT44" s="5">
        <v>0</v>
      </c>
      <c r="BU44" s="5">
        <v>0</v>
      </c>
      <c r="BV44" s="5">
        <v>0</v>
      </c>
      <c r="BW44" s="5">
        <v>0</v>
      </c>
      <c r="BX44" s="5">
        <v>0</v>
      </c>
      <c r="BY44" s="5">
        <v>0</v>
      </c>
      <c r="BZ44" s="5">
        <v>0</v>
      </c>
      <c r="CA44" s="5">
        <v>0</v>
      </c>
      <c r="CB44" s="5">
        <v>0</v>
      </c>
      <c r="CC44" s="5">
        <v>0</v>
      </c>
      <c r="CD44" s="5">
        <v>0</v>
      </c>
      <c r="CE44" s="5">
        <v>0</v>
      </c>
      <c r="CF44" s="5">
        <v>0</v>
      </c>
      <c r="CG44" s="5">
        <v>0</v>
      </c>
      <c r="CH44" s="5">
        <v>0</v>
      </c>
      <c r="CI44" s="5">
        <v>0</v>
      </c>
      <c r="CJ44" s="5">
        <v>0</v>
      </c>
      <c r="CK44" s="5">
        <v>0</v>
      </c>
      <c r="CL44" s="5">
        <v>0</v>
      </c>
      <c r="CM44" s="5">
        <v>0</v>
      </c>
      <c r="CN44" s="5">
        <v>0</v>
      </c>
      <c r="CO44" s="5">
        <v>0</v>
      </c>
      <c r="CP44" s="5">
        <v>0</v>
      </c>
      <c r="CQ44" s="5">
        <v>0</v>
      </c>
      <c r="CR44" s="5">
        <v>0</v>
      </c>
      <c r="CS44" s="5">
        <v>0</v>
      </c>
      <c r="CT44" s="5">
        <v>0</v>
      </c>
      <c r="CU44" s="5">
        <v>0</v>
      </c>
      <c r="CV44" s="5">
        <v>0</v>
      </c>
      <c r="CW44" s="5">
        <v>0</v>
      </c>
      <c r="CX44" s="5">
        <v>0</v>
      </c>
      <c r="CY44" s="5">
        <v>0</v>
      </c>
      <c r="CZ44" s="5">
        <v>0</v>
      </c>
      <c r="DA44" s="5">
        <v>0</v>
      </c>
      <c r="DB44" s="5">
        <v>0</v>
      </c>
      <c r="DC44" s="5">
        <v>0</v>
      </c>
      <c r="DD44" s="5">
        <v>0</v>
      </c>
      <c r="DE44" s="5">
        <v>0</v>
      </c>
      <c r="DF44" s="5">
        <v>0</v>
      </c>
      <c r="DG44" s="5">
        <v>0</v>
      </c>
      <c r="DH44" s="5">
        <v>0</v>
      </c>
      <c r="DI44" s="5">
        <v>0</v>
      </c>
      <c r="DJ44" s="5">
        <v>0</v>
      </c>
      <c r="DK44" s="6">
        <v>0</v>
      </c>
    </row>
    <row r="45" spans="1:115" x14ac:dyDescent="0.15">
      <c r="A45" s="4">
        <v>0</v>
      </c>
      <c r="B45" s="5">
        <v>0</v>
      </c>
      <c r="C45" s="5">
        <v>0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0</v>
      </c>
      <c r="BA45" s="5">
        <v>0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5">
        <v>0</v>
      </c>
      <c r="BM45" s="5">
        <v>0</v>
      </c>
      <c r="BN45" s="5">
        <v>0</v>
      </c>
      <c r="BO45" s="5">
        <v>0</v>
      </c>
      <c r="BP45" s="5">
        <v>0</v>
      </c>
      <c r="BQ45" s="5">
        <v>0</v>
      </c>
      <c r="BR45" s="5">
        <v>0</v>
      </c>
      <c r="BS45" s="5">
        <v>0</v>
      </c>
      <c r="BT45" s="5">
        <v>0</v>
      </c>
      <c r="BU45" s="5">
        <v>0</v>
      </c>
      <c r="BV45" s="5">
        <v>0</v>
      </c>
      <c r="BW45" s="5">
        <v>0</v>
      </c>
      <c r="BX45" s="5">
        <v>0</v>
      </c>
      <c r="BY45" s="5">
        <v>0</v>
      </c>
      <c r="BZ45" s="5">
        <v>0</v>
      </c>
      <c r="CA45" s="5">
        <v>0</v>
      </c>
      <c r="CB45" s="5">
        <v>0</v>
      </c>
      <c r="CC45" s="5">
        <v>0</v>
      </c>
      <c r="CD45" s="5">
        <v>0</v>
      </c>
      <c r="CE45" s="5">
        <v>0</v>
      </c>
      <c r="CF45" s="5">
        <v>0</v>
      </c>
      <c r="CG45" s="5">
        <v>0</v>
      </c>
      <c r="CH45" s="5">
        <v>0</v>
      </c>
      <c r="CI45" s="5">
        <v>0</v>
      </c>
      <c r="CJ45" s="5">
        <v>0</v>
      </c>
      <c r="CK45" s="5">
        <v>0</v>
      </c>
      <c r="CL45" s="5">
        <v>0</v>
      </c>
      <c r="CM45" s="5">
        <v>0</v>
      </c>
      <c r="CN45" s="5">
        <v>0</v>
      </c>
      <c r="CO45" s="5">
        <v>0</v>
      </c>
      <c r="CP45" s="5">
        <v>0</v>
      </c>
      <c r="CQ45" s="5">
        <v>0</v>
      </c>
      <c r="CR45" s="5">
        <v>0</v>
      </c>
      <c r="CS45" s="5">
        <v>0</v>
      </c>
      <c r="CT45" s="5">
        <v>0</v>
      </c>
      <c r="CU45" s="5">
        <v>0</v>
      </c>
      <c r="CV45" s="5">
        <v>0</v>
      </c>
      <c r="CW45" s="5">
        <v>0</v>
      </c>
      <c r="CX45" s="5">
        <v>0</v>
      </c>
      <c r="CY45" s="5">
        <v>0</v>
      </c>
      <c r="CZ45" s="5">
        <v>0</v>
      </c>
      <c r="DA45" s="5">
        <v>0</v>
      </c>
      <c r="DB45" s="5">
        <v>0</v>
      </c>
      <c r="DC45" s="5">
        <v>0</v>
      </c>
      <c r="DD45" s="5">
        <v>0</v>
      </c>
      <c r="DE45" s="5">
        <v>0</v>
      </c>
      <c r="DF45" s="5">
        <v>0</v>
      </c>
      <c r="DG45" s="5">
        <v>0</v>
      </c>
      <c r="DH45" s="5">
        <v>0</v>
      </c>
      <c r="DI45" s="5">
        <v>0</v>
      </c>
      <c r="DJ45" s="5">
        <v>0</v>
      </c>
      <c r="DK45" s="6">
        <v>0</v>
      </c>
    </row>
    <row r="46" spans="1:115" x14ac:dyDescent="0.15">
      <c r="A46" s="4">
        <v>0</v>
      </c>
      <c r="B46" s="5">
        <v>0</v>
      </c>
      <c r="C46" s="5">
        <v>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5">
        <v>0</v>
      </c>
      <c r="BM46" s="5">
        <v>0</v>
      </c>
      <c r="BN46" s="5">
        <v>0</v>
      </c>
      <c r="BO46" s="5">
        <v>0</v>
      </c>
      <c r="BP46" s="5">
        <v>0</v>
      </c>
      <c r="BQ46" s="5">
        <v>0</v>
      </c>
      <c r="BR46" s="5">
        <v>0</v>
      </c>
      <c r="BS46" s="5">
        <v>0</v>
      </c>
      <c r="BT46" s="5">
        <v>0</v>
      </c>
      <c r="BU46" s="5">
        <v>0</v>
      </c>
      <c r="BV46" s="5">
        <v>0</v>
      </c>
      <c r="BW46" s="5">
        <v>0</v>
      </c>
      <c r="BX46" s="5">
        <v>0</v>
      </c>
      <c r="BY46" s="5">
        <v>0</v>
      </c>
      <c r="BZ46" s="5">
        <v>0</v>
      </c>
      <c r="CA46" s="5">
        <v>0</v>
      </c>
      <c r="CB46" s="5">
        <v>0</v>
      </c>
      <c r="CC46" s="5">
        <v>0</v>
      </c>
      <c r="CD46" s="5">
        <v>0</v>
      </c>
      <c r="CE46" s="5">
        <v>0</v>
      </c>
      <c r="CF46" s="5">
        <v>0</v>
      </c>
      <c r="CG46" s="5">
        <v>0</v>
      </c>
      <c r="CH46" s="5">
        <v>0</v>
      </c>
      <c r="CI46" s="5">
        <v>0</v>
      </c>
      <c r="CJ46" s="5">
        <v>0</v>
      </c>
      <c r="CK46" s="5">
        <v>0</v>
      </c>
      <c r="CL46" s="5">
        <v>0</v>
      </c>
      <c r="CM46" s="5">
        <v>0</v>
      </c>
      <c r="CN46" s="5">
        <v>0</v>
      </c>
      <c r="CO46" s="5">
        <v>0</v>
      </c>
      <c r="CP46" s="5">
        <v>0</v>
      </c>
      <c r="CQ46" s="5">
        <v>0</v>
      </c>
      <c r="CR46" s="5">
        <v>0</v>
      </c>
      <c r="CS46" s="5">
        <v>0</v>
      </c>
      <c r="CT46" s="5">
        <v>0</v>
      </c>
      <c r="CU46" s="5">
        <v>0</v>
      </c>
      <c r="CV46" s="5">
        <v>0</v>
      </c>
      <c r="CW46" s="5">
        <v>0</v>
      </c>
      <c r="CX46" s="5">
        <v>0</v>
      </c>
      <c r="CY46" s="5">
        <v>0</v>
      </c>
      <c r="CZ46" s="5">
        <v>0</v>
      </c>
      <c r="DA46" s="5">
        <v>0</v>
      </c>
      <c r="DB46" s="5">
        <v>0</v>
      </c>
      <c r="DC46" s="5">
        <v>0</v>
      </c>
      <c r="DD46" s="5">
        <v>0</v>
      </c>
      <c r="DE46" s="5">
        <v>0</v>
      </c>
      <c r="DF46" s="5">
        <v>0</v>
      </c>
      <c r="DG46" s="5">
        <v>0</v>
      </c>
      <c r="DH46" s="5">
        <v>0</v>
      </c>
      <c r="DI46" s="5">
        <v>0</v>
      </c>
      <c r="DJ46" s="5">
        <v>0</v>
      </c>
      <c r="DK46" s="6">
        <v>0</v>
      </c>
    </row>
    <row r="47" spans="1:115" x14ac:dyDescent="0.15">
      <c r="A47" s="4">
        <v>0</v>
      </c>
      <c r="B47" s="5">
        <v>0</v>
      </c>
      <c r="C47" s="5">
        <v>0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5">
        <v>0</v>
      </c>
      <c r="BM47" s="5">
        <v>0</v>
      </c>
      <c r="BN47" s="5">
        <v>0</v>
      </c>
      <c r="BO47" s="5">
        <v>0</v>
      </c>
      <c r="BP47" s="5">
        <v>0</v>
      </c>
      <c r="BQ47" s="5">
        <v>0</v>
      </c>
      <c r="BR47" s="5">
        <v>0</v>
      </c>
      <c r="BS47" s="5">
        <v>0</v>
      </c>
      <c r="BT47" s="5">
        <v>0</v>
      </c>
      <c r="BU47" s="5">
        <v>0</v>
      </c>
      <c r="BV47" s="5">
        <v>0</v>
      </c>
      <c r="BW47" s="5">
        <v>0</v>
      </c>
      <c r="BX47" s="5">
        <v>0</v>
      </c>
      <c r="BY47" s="5">
        <v>0</v>
      </c>
      <c r="BZ47" s="5">
        <v>0</v>
      </c>
      <c r="CA47" s="5">
        <v>0</v>
      </c>
      <c r="CB47" s="5">
        <v>0</v>
      </c>
      <c r="CC47" s="5">
        <v>0</v>
      </c>
      <c r="CD47" s="5">
        <v>0</v>
      </c>
      <c r="CE47" s="5">
        <v>0</v>
      </c>
      <c r="CF47" s="5">
        <v>0</v>
      </c>
      <c r="CG47" s="5">
        <v>0</v>
      </c>
      <c r="CH47" s="5">
        <v>0</v>
      </c>
      <c r="CI47" s="5">
        <v>0</v>
      </c>
      <c r="CJ47" s="5">
        <v>0</v>
      </c>
      <c r="CK47" s="5">
        <v>0</v>
      </c>
      <c r="CL47" s="5">
        <v>0</v>
      </c>
      <c r="CM47" s="5">
        <v>0</v>
      </c>
      <c r="CN47" s="5">
        <v>0</v>
      </c>
      <c r="CO47" s="5">
        <v>0</v>
      </c>
      <c r="CP47" s="5">
        <v>0</v>
      </c>
      <c r="CQ47" s="5">
        <v>0</v>
      </c>
      <c r="CR47" s="5">
        <v>0</v>
      </c>
      <c r="CS47" s="5">
        <v>0</v>
      </c>
      <c r="CT47" s="5">
        <v>0</v>
      </c>
      <c r="CU47" s="5">
        <v>0</v>
      </c>
      <c r="CV47" s="5">
        <v>0</v>
      </c>
      <c r="CW47" s="5">
        <v>0</v>
      </c>
      <c r="CX47" s="5">
        <v>0</v>
      </c>
      <c r="CY47" s="5">
        <v>0</v>
      </c>
      <c r="CZ47" s="5">
        <v>0</v>
      </c>
      <c r="DA47" s="5">
        <v>0</v>
      </c>
      <c r="DB47" s="5">
        <v>0</v>
      </c>
      <c r="DC47" s="5">
        <v>0</v>
      </c>
      <c r="DD47" s="5">
        <v>0</v>
      </c>
      <c r="DE47" s="5">
        <v>0</v>
      </c>
      <c r="DF47" s="5">
        <v>0</v>
      </c>
      <c r="DG47" s="5">
        <v>0</v>
      </c>
      <c r="DH47" s="5">
        <v>0</v>
      </c>
      <c r="DI47" s="5">
        <v>0</v>
      </c>
      <c r="DJ47" s="5">
        <v>0</v>
      </c>
      <c r="DK47" s="6">
        <v>0</v>
      </c>
    </row>
    <row r="48" spans="1:115" x14ac:dyDescent="0.15">
      <c r="A48" s="4">
        <v>0</v>
      </c>
      <c r="B48" s="5">
        <v>0</v>
      </c>
      <c r="C48" s="5">
        <v>0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5">
        <v>0</v>
      </c>
      <c r="BM48" s="5">
        <v>0</v>
      </c>
      <c r="BN48" s="5">
        <v>0</v>
      </c>
      <c r="BO48" s="5">
        <v>0</v>
      </c>
      <c r="BP48" s="5">
        <v>0</v>
      </c>
      <c r="BQ48" s="5">
        <v>0</v>
      </c>
      <c r="BR48" s="5">
        <v>0</v>
      </c>
      <c r="BS48" s="5">
        <v>0</v>
      </c>
      <c r="BT48" s="5">
        <v>0</v>
      </c>
      <c r="BU48" s="5">
        <v>0</v>
      </c>
      <c r="BV48" s="5">
        <v>0</v>
      </c>
      <c r="BW48" s="5">
        <v>0</v>
      </c>
      <c r="BX48" s="5">
        <v>0</v>
      </c>
      <c r="BY48" s="5">
        <v>0</v>
      </c>
      <c r="BZ48" s="5">
        <v>0</v>
      </c>
      <c r="CA48" s="5">
        <v>0</v>
      </c>
      <c r="CB48" s="5">
        <v>0</v>
      </c>
      <c r="CC48" s="5">
        <v>0</v>
      </c>
      <c r="CD48" s="5">
        <v>0</v>
      </c>
      <c r="CE48" s="5">
        <v>0</v>
      </c>
      <c r="CF48" s="5">
        <v>0</v>
      </c>
      <c r="CG48" s="5">
        <v>0</v>
      </c>
      <c r="CH48" s="5">
        <v>0</v>
      </c>
      <c r="CI48" s="5">
        <v>0</v>
      </c>
      <c r="CJ48" s="5">
        <v>0</v>
      </c>
      <c r="CK48" s="5">
        <v>0</v>
      </c>
      <c r="CL48" s="5">
        <v>0</v>
      </c>
      <c r="CM48" s="5">
        <v>0</v>
      </c>
      <c r="CN48" s="5">
        <v>0</v>
      </c>
      <c r="CO48" s="5">
        <v>0</v>
      </c>
      <c r="CP48" s="5">
        <v>0</v>
      </c>
      <c r="CQ48" s="5">
        <v>0</v>
      </c>
      <c r="CR48" s="5">
        <v>0</v>
      </c>
      <c r="CS48" s="5">
        <v>0</v>
      </c>
      <c r="CT48" s="5">
        <v>0</v>
      </c>
      <c r="CU48" s="5">
        <v>0</v>
      </c>
      <c r="CV48" s="5">
        <v>0</v>
      </c>
      <c r="CW48" s="5">
        <v>0</v>
      </c>
      <c r="CX48" s="5">
        <v>0</v>
      </c>
      <c r="CY48" s="5">
        <v>0</v>
      </c>
      <c r="CZ48" s="5">
        <v>0</v>
      </c>
      <c r="DA48" s="5">
        <v>0</v>
      </c>
      <c r="DB48" s="5">
        <v>0</v>
      </c>
      <c r="DC48" s="5">
        <v>0</v>
      </c>
      <c r="DD48" s="5">
        <v>0</v>
      </c>
      <c r="DE48" s="5">
        <v>0</v>
      </c>
      <c r="DF48" s="5">
        <v>0</v>
      </c>
      <c r="DG48" s="5">
        <v>0</v>
      </c>
      <c r="DH48" s="5">
        <v>0</v>
      </c>
      <c r="DI48" s="5">
        <v>0</v>
      </c>
      <c r="DJ48" s="5">
        <v>0</v>
      </c>
      <c r="DK48" s="6">
        <v>0</v>
      </c>
    </row>
    <row r="49" spans="1:115" x14ac:dyDescent="0.15">
      <c r="A49" s="4">
        <v>0</v>
      </c>
      <c r="B49" s="5">
        <v>0</v>
      </c>
      <c r="C49" s="5">
        <v>0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5">
        <v>0</v>
      </c>
      <c r="BM49" s="5">
        <v>0</v>
      </c>
      <c r="BN49" s="5">
        <v>0</v>
      </c>
      <c r="BO49" s="5">
        <v>0</v>
      </c>
      <c r="BP49" s="5">
        <v>0</v>
      </c>
      <c r="BQ49" s="5">
        <v>0</v>
      </c>
      <c r="BR49" s="5">
        <v>0</v>
      </c>
      <c r="BS49" s="5">
        <v>0</v>
      </c>
      <c r="BT49" s="5">
        <v>0</v>
      </c>
      <c r="BU49" s="5">
        <v>0</v>
      </c>
      <c r="BV49" s="5">
        <v>0</v>
      </c>
      <c r="BW49" s="5">
        <v>0</v>
      </c>
      <c r="BX49" s="5">
        <v>0</v>
      </c>
      <c r="BY49" s="5">
        <v>0</v>
      </c>
      <c r="BZ49" s="5">
        <v>0</v>
      </c>
      <c r="CA49" s="5">
        <v>0</v>
      </c>
      <c r="CB49" s="5">
        <v>0</v>
      </c>
      <c r="CC49" s="5">
        <v>0</v>
      </c>
      <c r="CD49" s="5">
        <v>0</v>
      </c>
      <c r="CE49" s="5">
        <v>0</v>
      </c>
      <c r="CF49" s="5">
        <v>0</v>
      </c>
      <c r="CG49" s="5">
        <v>0</v>
      </c>
      <c r="CH49" s="5">
        <v>0</v>
      </c>
      <c r="CI49" s="5">
        <v>0</v>
      </c>
      <c r="CJ49" s="5">
        <v>0</v>
      </c>
      <c r="CK49" s="5">
        <v>0</v>
      </c>
      <c r="CL49" s="5">
        <v>0</v>
      </c>
      <c r="CM49" s="5">
        <v>0</v>
      </c>
      <c r="CN49" s="5">
        <v>0</v>
      </c>
      <c r="CO49" s="5">
        <v>0</v>
      </c>
      <c r="CP49" s="5">
        <v>0</v>
      </c>
      <c r="CQ49" s="5">
        <v>0</v>
      </c>
      <c r="CR49" s="5">
        <v>0</v>
      </c>
      <c r="CS49" s="5">
        <v>0</v>
      </c>
      <c r="CT49" s="5">
        <v>0</v>
      </c>
      <c r="CU49" s="5">
        <v>0</v>
      </c>
      <c r="CV49" s="5">
        <v>0</v>
      </c>
      <c r="CW49" s="5">
        <v>0</v>
      </c>
      <c r="CX49" s="5">
        <v>0</v>
      </c>
      <c r="CY49" s="5">
        <v>0</v>
      </c>
      <c r="CZ49" s="5">
        <v>0</v>
      </c>
      <c r="DA49" s="5">
        <v>0</v>
      </c>
      <c r="DB49" s="5">
        <v>0</v>
      </c>
      <c r="DC49" s="5">
        <v>0</v>
      </c>
      <c r="DD49" s="5">
        <v>0</v>
      </c>
      <c r="DE49" s="5">
        <v>0</v>
      </c>
      <c r="DF49" s="5">
        <v>0</v>
      </c>
      <c r="DG49" s="5">
        <v>0</v>
      </c>
      <c r="DH49" s="5">
        <v>0</v>
      </c>
      <c r="DI49" s="5">
        <v>0</v>
      </c>
      <c r="DJ49" s="5">
        <v>0</v>
      </c>
      <c r="DK49" s="6">
        <v>0</v>
      </c>
    </row>
    <row r="50" spans="1:115" x14ac:dyDescent="0.15">
      <c r="A50" s="4">
        <v>0</v>
      </c>
      <c r="B50" s="5">
        <v>0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0</v>
      </c>
      <c r="BA50" s="5">
        <v>0</v>
      </c>
      <c r="BB50" s="5">
        <v>0</v>
      </c>
      <c r="BC50" s="5">
        <v>0</v>
      </c>
      <c r="BD50" s="5">
        <v>0</v>
      </c>
      <c r="BE50" s="5">
        <v>0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5">
        <v>0</v>
      </c>
      <c r="BM50" s="5">
        <v>0</v>
      </c>
      <c r="BN50" s="5">
        <v>0</v>
      </c>
      <c r="BO50" s="5">
        <v>0</v>
      </c>
      <c r="BP50" s="5">
        <v>0</v>
      </c>
      <c r="BQ50" s="5">
        <v>0</v>
      </c>
      <c r="BR50" s="5">
        <v>0</v>
      </c>
      <c r="BS50" s="5">
        <v>0</v>
      </c>
      <c r="BT50" s="5">
        <v>0</v>
      </c>
      <c r="BU50" s="5">
        <v>0</v>
      </c>
      <c r="BV50" s="5">
        <v>0</v>
      </c>
      <c r="BW50" s="5">
        <v>0</v>
      </c>
      <c r="BX50" s="5">
        <v>0</v>
      </c>
      <c r="BY50" s="5">
        <v>0</v>
      </c>
      <c r="BZ50" s="5">
        <v>0</v>
      </c>
      <c r="CA50" s="5">
        <v>0</v>
      </c>
      <c r="CB50" s="5">
        <v>0</v>
      </c>
      <c r="CC50" s="5">
        <v>0</v>
      </c>
      <c r="CD50" s="5">
        <v>0</v>
      </c>
      <c r="CE50" s="5">
        <v>0</v>
      </c>
      <c r="CF50" s="5">
        <v>0</v>
      </c>
      <c r="CG50" s="5">
        <v>0</v>
      </c>
      <c r="CH50" s="5">
        <v>0</v>
      </c>
      <c r="CI50" s="5">
        <v>0</v>
      </c>
      <c r="CJ50" s="5">
        <v>0</v>
      </c>
      <c r="CK50" s="5">
        <v>0</v>
      </c>
      <c r="CL50" s="5">
        <v>0</v>
      </c>
      <c r="CM50" s="5">
        <v>0</v>
      </c>
      <c r="CN50" s="5">
        <v>0</v>
      </c>
      <c r="CO50" s="5">
        <v>0</v>
      </c>
      <c r="CP50" s="5">
        <v>0</v>
      </c>
      <c r="CQ50" s="5">
        <v>0</v>
      </c>
      <c r="CR50" s="5">
        <v>0</v>
      </c>
      <c r="CS50" s="5">
        <v>0</v>
      </c>
      <c r="CT50" s="5">
        <v>0</v>
      </c>
      <c r="CU50" s="5">
        <v>0</v>
      </c>
      <c r="CV50" s="5">
        <v>0</v>
      </c>
      <c r="CW50" s="5">
        <v>0</v>
      </c>
      <c r="CX50" s="5">
        <v>0</v>
      </c>
      <c r="CY50" s="5">
        <v>0</v>
      </c>
      <c r="CZ50" s="5">
        <v>0</v>
      </c>
      <c r="DA50" s="5">
        <v>0</v>
      </c>
      <c r="DB50" s="5">
        <v>0</v>
      </c>
      <c r="DC50" s="5">
        <v>0</v>
      </c>
      <c r="DD50" s="5">
        <v>0</v>
      </c>
      <c r="DE50" s="5">
        <v>0</v>
      </c>
      <c r="DF50" s="5">
        <v>0</v>
      </c>
      <c r="DG50" s="5">
        <v>0</v>
      </c>
      <c r="DH50" s="5">
        <v>0</v>
      </c>
      <c r="DI50" s="5">
        <v>0</v>
      </c>
      <c r="DJ50" s="5">
        <v>0</v>
      </c>
      <c r="DK50" s="6">
        <v>0</v>
      </c>
    </row>
    <row r="51" spans="1:115" x14ac:dyDescent="0.15">
      <c r="A51" s="4">
        <v>0</v>
      </c>
      <c r="B51" s="5">
        <v>0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0</v>
      </c>
      <c r="BA51" s="5">
        <v>0</v>
      </c>
      <c r="BB51" s="5">
        <v>0</v>
      </c>
      <c r="BC51" s="5">
        <v>0</v>
      </c>
      <c r="BD51" s="5">
        <v>0</v>
      </c>
      <c r="BE51" s="5">
        <v>0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5">
        <v>0</v>
      </c>
      <c r="BM51" s="5">
        <v>0</v>
      </c>
      <c r="BN51" s="5">
        <v>0</v>
      </c>
      <c r="BO51" s="5">
        <v>0</v>
      </c>
      <c r="BP51" s="5">
        <v>0</v>
      </c>
      <c r="BQ51" s="5">
        <v>0</v>
      </c>
      <c r="BR51" s="5">
        <v>0</v>
      </c>
      <c r="BS51" s="5">
        <v>0</v>
      </c>
      <c r="BT51" s="5">
        <v>0</v>
      </c>
      <c r="BU51" s="5">
        <v>0</v>
      </c>
      <c r="BV51" s="5">
        <v>0</v>
      </c>
      <c r="BW51" s="5">
        <v>0</v>
      </c>
      <c r="BX51" s="5">
        <v>0</v>
      </c>
      <c r="BY51" s="5">
        <v>0</v>
      </c>
      <c r="BZ51" s="5">
        <v>0</v>
      </c>
      <c r="CA51" s="5">
        <v>0</v>
      </c>
      <c r="CB51" s="5">
        <v>0</v>
      </c>
      <c r="CC51" s="5">
        <v>0</v>
      </c>
      <c r="CD51" s="5">
        <v>0</v>
      </c>
      <c r="CE51" s="5">
        <v>0</v>
      </c>
      <c r="CF51" s="5">
        <v>0</v>
      </c>
      <c r="CG51" s="5">
        <v>0</v>
      </c>
      <c r="CH51" s="5">
        <v>0</v>
      </c>
      <c r="CI51" s="5">
        <v>0</v>
      </c>
      <c r="CJ51" s="5">
        <v>0</v>
      </c>
      <c r="CK51" s="5">
        <v>0</v>
      </c>
      <c r="CL51" s="5">
        <v>0</v>
      </c>
      <c r="CM51" s="5">
        <v>0</v>
      </c>
      <c r="CN51" s="5">
        <v>0</v>
      </c>
      <c r="CO51" s="5">
        <v>0</v>
      </c>
      <c r="CP51" s="5">
        <v>0</v>
      </c>
      <c r="CQ51" s="5">
        <v>0</v>
      </c>
      <c r="CR51" s="5">
        <v>0</v>
      </c>
      <c r="CS51" s="5">
        <v>0</v>
      </c>
      <c r="CT51" s="5">
        <v>0</v>
      </c>
      <c r="CU51" s="5">
        <v>0</v>
      </c>
      <c r="CV51" s="5">
        <v>0</v>
      </c>
      <c r="CW51" s="5">
        <v>0</v>
      </c>
      <c r="CX51" s="5">
        <v>0</v>
      </c>
      <c r="CY51" s="5">
        <v>0</v>
      </c>
      <c r="CZ51" s="5">
        <v>0</v>
      </c>
      <c r="DA51" s="5">
        <v>0</v>
      </c>
      <c r="DB51" s="5">
        <v>0</v>
      </c>
      <c r="DC51" s="5">
        <v>0</v>
      </c>
      <c r="DD51" s="5">
        <v>0</v>
      </c>
      <c r="DE51" s="5">
        <v>0</v>
      </c>
      <c r="DF51" s="5">
        <v>0</v>
      </c>
      <c r="DG51" s="5">
        <v>0</v>
      </c>
      <c r="DH51" s="5">
        <v>0</v>
      </c>
      <c r="DI51" s="5">
        <v>0</v>
      </c>
      <c r="DJ51" s="5">
        <v>0</v>
      </c>
      <c r="DK51" s="6">
        <v>0</v>
      </c>
    </row>
    <row r="52" spans="1:115" x14ac:dyDescent="0.15">
      <c r="A52" s="4">
        <v>0</v>
      </c>
      <c r="B52" s="5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0</v>
      </c>
      <c r="BB52" s="5">
        <v>0</v>
      </c>
      <c r="BC52" s="5">
        <v>0</v>
      </c>
      <c r="BD52" s="5">
        <v>0</v>
      </c>
      <c r="BE52" s="5">
        <v>0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5">
        <v>0</v>
      </c>
      <c r="BM52" s="5">
        <v>0</v>
      </c>
      <c r="BN52" s="5">
        <v>0</v>
      </c>
      <c r="BO52" s="5">
        <v>0</v>
      </c>
      <c r="BP52" s="5">
        <v>0</v>
      </c>
      <c r="BQ52" s="5">
        <v>0</v>
      </c>
      <c r="BR52" s="5">
        <v>0</v>
      </c>
      <c r="BS52" s="5">
        <v>0</v>
      </c>
      <c r="BT52" s="5">
        <v>0</v>
      </c>
      <c r="BU52" s="5">
        <v>0</v>
      </c>
      <c r="BV52" s="5">
        <v>0</v>
      </c>
      <c r="BW52" s="5">
        <v>0</v>
      </c>
      <c r="BX52" s="5">
        <v>0</v>
      </c>
      <c r="BY52" s="5">
        <v>0</v>
      </c>
      <c r="BZ52" s="5">
        <v>0</v>
      </c>
      <c r="CA52" s="5">
        <v>0</v>
      </c>
      <c r="CB52" s="5">
        <v>0</v>
      </c>
      <c r="CC52" s="5">
        <v>0</v>
      </c>
      <c r="CD52" s="5">
        <v>0</v>
      </c>
      <c r="CE52" s="5">
        <v>0</v>
      </c>
      <c r="CF52" s="5">
        <v>0</v>
      </c>
      <c r="CG52" s="5">
        <v>0</v>
      </c>
      <c r="CH52" s="5">
        <v>0</v>
      </c>
      <c r="CI52" s="5">
        <v>0</v>
      </c>
      <c r="CJ52" s="5">
        <v>0</v>
      </c>
      <c r="CK52" s="5">
        <v>0</v>
      </c>
      <c r="CL52" s="5">
        <v>0</v>
      </c>
      <c r="CM52" s="5">
        <v>0</v>
      </c>
      <c r="CN52" s="5">
        <v>0</v>
      </c>
      <c r="CO52" s="5">
        <v>0</v>
      </c>
      <c r="CP52" s="5">
        <v>0</v>
      </c>
      <c r="CQ52" s="5">
        <v>0</v>
      </c>
      <c r="CR52" s="5">
        <v>0</v>
      </c>
      <c r="CS52" s="5">
        <v>0</v>
      </c>
      <c r="CT52" s="5">
        <v>0</v>
      </c>
      <c r="CU52" s="5">
        <v>0</v>
      </c>
      <c r="CV52" s="5">
        <v>0</v>
      </c>
      <c r="CW52" s="5">
        <v>0</v>
      </c>
      <c r="CX52" s="5">
        <v>0</v>
      </c>
      <c r="CY52" s="5">
        <v>0</v>
      </c>
      <c r="CZ52" s="5">
        <v>0</v>
      </c>
      <c r="DA52" s="5">
        <v>0</v>
      </c>
      <c r="DB52" s="5">
        <v>0</v>
      </c>
      <c r="DC52" s="5">
        <v>0</v>
      </c>
      <c r="DD52" s="5">
        <v>0</v>
      </c>
      <c r="DE52" s="5">
        <v>0</v>
      </c>
      <c r="DF52" s="5">
        <v>0</v>
      </c>
      <c r="DG52" s="5">
        <v>0</v>
      </c>
      <c r="DH52" s="5">
        <v>0</v>
      </c>
      <c r="DI52" s="5">
        <v>0</v>
      </c>
      <c r="DJ52" s="5">
        <v>0</v>
      </c>
      <c r="DK52" s="6">
        <v>0</v>
      </c>
    </row>
    <row r="53" spans="1:115" x14ac:dyDescent="0.15">
      <c r="A53" s="4">
        <v>0</v>
      </c>
      <c r="B53" s="5">
        <v>0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0</v>
      </c>
      <c r="BC53" s="5">
        <v>0</v>
      </c>
      <c r="BD53" s="5">
        <v>0</v>
      </c>
      <c r="BE53" s="5">
        <v>0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5">
        <v>0</v>
      </c>
      <c r="BM53" s="5">
        <v>0</v>
      </c>
      <c r="BN53" s="5">
        <v>0</v>
      </c>
      <c r="BO53" s="5">
        <v>0</v>
      </c>
      <c r="BP53" s="5">
        <v>0</v>
      </c>
      <c r="BQ53" s="5">
        <v>0</v>
      </c>
      <c r="BR53" s="5">
        <v>0</v>
      </c>
      <c r="BS53" s="5">
        <v>0</v>
      </c>
      <c r="BT53" s="5">
        <v>0</v>
      </c>
      <c r="BU53" s="5">
        <v>0</v>
      </c>
      <c r="BV53" s="5">
        <v>0</v>
      </c>
      <c r="BW53" s="5">
        <v>0</v>
      </c>
      <c r="BX53" s="5">
        <v>0</v>
      </c>
      <c r="BY53" s="5">
        <v>0</v>
      </c>
      <c r="BZ53" s="5">
        <v>0</v>
      </c>
      <c r="CA53" s="5">
        <v>0</v>
      </c>
      <c r="CB53" s="5">
        <v>0</v>
      </c>
      <c r="CC53" s="5">
        <v>0</v>
      </c>
      <c r="CD53" s="5">
        <v>0</v>
      </c>
      <c r="CE53" s="5">
        <v>0</v>
      </c>
      <c r="CF53" s="5">
        <v>0</v>
      </c>
      <c r="CG53" s="5">
        <v>0</v>
      </c>
      <c r="CH53" s="5">
        <v>0</v>
      </c>
      <c r="CI53" s="5">
        <v>0</v>
      </c>
      <c r="CJ53" s="5">
        <v>0</v>
      </c>
      <c r="CK53" s="5">
        <v>0</v>
      </c>
      <c r="CL53" s="5">
        <v>0</v>
      </c>
      <c r="CM53" s="5">
        <v>0</v>
      </c>
      <c r="CN53" s="5">
        <v>0</v>
      </c>
      <c r="CO53" s="5">
        <v>0</v>
      </c>
      <c r="CP53" s="5">
        <v>0</v>
      </c>
      <c r="CQ53" s="5">
        <v>0</v>
      </c>
      <c r="CR53" s="5">
        <v>0</v>
      </c>
      <c r="CS53" s="5">
        <v>0</v>
      </c>
      <c r="CT53" s="5">
        <v>0</v>
      </c>
      <c r="CU53" s="5">
        <v>0</v>
      </c>
      <c r="CV53" s="5">
        <v>0</v>
      </c>
      <c r="CW53" s="5">
        <v>0</v>
      </c>
      <c r="CX53" s="5">
        <v>0</v>
      </c>
      <c r="CY53" s="5">
        <v>0</v>
      </c>
      <c r="CZ53" s="5">
        <v>0</v>
      </c>
      <c r="DA53" s="5">
        <v>0</v>
      </c>
      <c r="DB53" s="5">
        <v>0</v>
      </c>
      <c r="DC53" s="5">
        <v>0</v>
      </c>
      <c r="DD53" s="5">
        <v>0</v>
      </c>
      <c r="DE53" s="5">
        <v>0</v>
      </c>
      <c r="DF53" s="5">
        <v>0</v>
      </c>
      <c r="DG53" s="5">
        <v>0</v>
      </c>
      <c r="DH53" s="5">
        <v>0</v>
      </c>
      <c r="DI53" s="5">
        <v>0</v>
      </c>
      <c r="DJ53" s="5">
        <v>0</v>
      </c>
      <c r="DK53" s="6">
        <v>0</v>
      </c>
    </row>
    <row r="54" spans="1:115" x14ac:dyDescent="0.15">
      <c r="A54" s="4">
        <v>0</v>
      </c>
      <c r="B54" s="5">
        <v>0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5">
        <v>0</v>
      </c>
      <c r="BM54" s="5">
        <v>0</v>
      </c>
      <c r="BN54" s="5">
        <v>0</v>
      </c>
      <c r="BO54" s="5">
        <v>0</v>
      </c>
      <c r="BP54" s="5">
        <v>0</v>
      </c>
      <c r="BQ54" s="5">
        <v>0</v>
      </c>
      <c r="BR54" s="5">
        <v>0</v>
      </c>
      <c r="BS54" s="5">
        <v>0</v>
      </c>
      <c r="BT54" s="5">
        <v>0</v>
      </c>
      <c r="BU54" s="5">
        <v>0</v>
      </c>
      <c r="BV54" s="5">
        <v>0</v>
      </c>
      <c r="BW54" s="5">
        <v>0</v>
      </c>
      <c r="BX54" s="5">
        <v>0</v>
      </c>
      <c r="BY54" s="5">
        <v>0</v>
      </c>
      <c r="BZ54" s="5">
        <v>0</v>
      </c>
      <c r="CA54" s="5">
        <v>0</v>
      </c>
      <c r="CB54" s="5">
        <v>0</v>
      </c>
      <c r="CC54" s="5">
        <v>0</v>
      </c>
      <c r="CD54" s="5">
        <v>0</v>
      </c>
      <c r="CE54" s="5">
        <v>0</v>
      </c>
      <c r="CF54" s="5">
        <v>0</v>
      </c>
      <c r="CG54" s="5">
        <v>0</v>
      </c>
      <c r="CH54" s="5">
        <v>0</v>
      </c>
      <c r="CI54" s="5">
        <v>0</v>
      </c>
      <c r="CJ54" s="5">
        <v>0</v>
      </c>
      <c r="CK54" s="5">
        <v>0</v>
      </c>
      <c r="CL54" s="5">
        <v>0</v>
      </c>
      <c r="CM54" s="5">
        <v>0</v>
      </c>
      <c r="CN54" s="5">
        <v>0</v>
      </c>
      <c r="CO54" s="5">
        <v>0</v>
      </c>
      <c r="CP54" s="5">
        <v>0</v>
      </c>
      <c r="CQ54" s="5">
        <v>0</v>
      </c>
      <c r="CR54" s="5">
        <v>0</v>
      </c>
      <c r="CS54" s="5">
        <v>0</v>
      </c>
      <c r="CT54" s="5">
        <v>0</v>
      </c>
      <c r="CU54" s="5">
        <v>0</v>
      </c>
      <c r="CV54" s="5">
        <v>0</v>
      </c>
      <c r="CW54" s="5">
        <v>0</v>
      </c>
      <c r="CX54" s="5">
        <v>0</v>
      </c>
      <c r="CY54" s="5">
        <v>0</v>
      </c>
      <c r="CZ54" s="5">
        <v>0</v>
      </c>
      <c r="DA54" s="5">
        <v>0</v>
      </c>
      <c r="DB54" s="5">
        <v>0</v>
      </c>
      <c r="DC54" s="5">
        <v>0</v>
      </c>
      <c r="DD54" s="5">
        <v>0</v>
      </c>
      <c r="DE54" s="5">
        <v>0</v>
      </c>
      <c r="DF54" s="5">
        <v>0</v>
      </c>
      <c r="DG54" s="5">
        <v>0</v>
      </c>
      <c r="DH54" s="5">
        <v>0</v>
      </c>
      <c r="DI54" s="5">
        <v>0</v>
      </c>
      <c r="DJ54" s="5">
        <v>0</v>
      </c>
      <c r="DK54" s="6">
        <v>0</v>
      </c>
    </row>
    <row r="55" spans="1:115" x14ac:dyDescent="0.15">
      <c r="A55" s="4">
        <v>0</v>
      </c>
      <c r="B55" s="5">
        <v>0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0</v>
      </c>
      <c r="BE55" s="5">
        <v>0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5">
        <v>0</v>
      </c>
      <c r="BM55" s="5">
        <v>0</v>
      </c>
      <c r="BN55" s="5">
        <v>0</v>
      </c>
      <c r="BO55" s="5">
        <v>0</v>
      </c>
      <c r="BP55" s="5">
        <v>0</v>
      </c>
      <c r="BQ55" s="5">
        <v>0</v>
      </c>
      <c r="BR55" s="5">
        <v>0</v>
      </c>
      <c r="BS55" s="5">
        <v>0</v>
      </c>
      <c r="BT55" s="5">
        <v>0</v>
      </c>
      <c r="BU55" s="5">
        <v>0</v>
      </c>
      <c r="BV55" s="5">
        <v>0</v>
      </c>
      <c r="BW55" s="5">
        <v>0</v>
      </c>
      <c r="BX55" s="5">
        <v>0</v>
      </c>
      <c r="BY55" s="5">
        <v>0</v>
      </c>
      <c r="BZ55" s="5">
        <v>0</v>
      </c>
      <c r="CA55" s="5">
        <v>0</v>
      </c>
      <c r="CB55" s="5">
        <v>0</v>
      </c>
      <c r="CC55" s="5">
        <v>0</v>
      </c>
      <c r="CD55" s="5">
        <v>0</v>
      </c>
      <c r="CE55" s="5">
        <v>0</v>
      </c>
      <c r="CF55" s="5">
        <v>0</v>
      </c>
      <c r="CG55" s="5">
        <v>0</v>
      </c>
      <c r="CH55" s="5">
        <v>0</v>
      </c>
      <c r="CI55" s="5">
        <v>0</v>
      </c>
      <c r="CJ55" s="5">
        <v>0</v>
      </c>
      <c r="CK55" s="5">
        <v>0</v>
      </c>
      <c r="CL55" s="5">
        <v>0</v>
      </c>
      <c r="CM55" s="5">
        <v>0</v>
      </c>
      <c r="CN55" s="5">
        <v>0</v>
      </c>
      <c r="CO55" s="5">
        <v>0</v>
      </c>
      <c r="CP55" s="5">
        <v>0</v>
      </c>
      <c r="CQ55" s="5">
        <v>0</v>
      </c>
      <c r="CR55" s="5">
        <v>0</v>
      </c>
      <c r="CS55" s="5">
        <v>0</v>
      </c>
      <c r="CT55" s="5">
        <v>0</v>
      </c>
      <c r="CU55" s="5">
        <v>0</v>
      </c>
      <c r="CV55" s="5">
        <v>0</v>
      </c>
      <c r="CW55" s="5">
        <v>0</v>
      </c>
      <c r="CX55" s="5">
        <v>0</v>
      </c>
      <c r="CY55" s="5">
        <v>0</v>
      </c>
      <c r="CZ55" s="5">
        <v>0</v>
      </c>
      <c r="DA55" s="5">
        <v>0</v>
      </c>
      <c r="DB55" s="5">
        <v>0</v>
      </c>
      <c r="DC55" s="5">
        <v>0</v>
      </c>
      <c r="DD55" s="5">
        <v>0</v>
      </c>
      <c r="DE55" s="5">
        <v>0</v>
      </c>
      <c r="DF55" s="5">
        <v>0</v>
      </c>
      <c r="DG55" s="5">
        <v>0</v>
      </c>
      <c r="DH55" s="5">
        <v>0</v>
      </c>
      <c r="DI55" s="5">
        <v>0</v>
      </c>
      <c r="DJ55" s="5">
        <v>0</v>
      </c>
      <c r="DK55" s="6">
        <v>0</v>
      </c>
    </row>
    <row r="56" spans="1:115" x14ac:dyDescent="0.15">
      <c r="A56" s="4">
        <v>0</v>
      </c>
      <c r="B56" s="5">
        <v>0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0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5">
        <v>0</v>
      </c>
      <c r="BM56" s="5">
        <v>0</v>
      </c>
      <c r="BN56" s="5">
        <v>0</v>
      </c>
      <c r="BO56" s="5">
        <v>0</v>
      </c>
      <c r="BP56" s="5">
        <v>0</v>
      </c>
      <c r="BQ56" s="5">
        <v>0</v>
      </c>
      <c r="BR56" s="5">
        <v>0</v>
      </c>
      <c r="BS56" s="5">
        <v>0</v>
      </c>
      <c r="BT56" s="5">
        <v>0</v>
      </c>
      <c r="BU56" s="5">
        <v>0</v>
      </c>
      <c r="BV56" s="5">
        <v>0</v>
      </c>
      <c r="BW56" s="5">
        <v>0</v>
      </c>
      <c r="BX56" s="5">
        <v>0</v>
      </c>
      <c r="BY56" s="5">
        <v>0</v>
      </c>
      <c r="BZ56" s="5">
        <v>0</v>
      </c>
      <c r="CA56" s="5">
        <v>0</v>
      </c>
      <c r="CB56" s="5">
        <v>0</v>
      </c>
      <c r="CC56" s="5">
        <v>0</v>
      </c>
      <c r="CD56" s="5">
        <v>0</v>
      </c>
      <c r="CE56" s="5">
        <v>0</v>
      </c>
      <c r="CF56" s="5">
        <v>0</v>
      </c>
      <c r="CG56" s="5">
        <v>0</v>
      </c>
      <c r="CH56" s="5">
        <v>0</v>
      </c>
      <c r="CI56" s="5">
        <v>0</v>
      </c>
      <c r="CJ56" s="5">
        <v>0</v>
      </c>
      <c r="CK56" s="5">
        <v>0</v>
      </c>
      <c r="CL56" s="5">
        <v>0</v>
      </c>
      <c r="CM56" s="5">
        <v>0</v>
      </c>
      <c r="CN56" s="5">
        <v>0</v>
      </c>
      <c r="CO56" s="5">
        <v>0</v>
      </c>
      <c r="CP56" s="5">
        <v>0</v>
      </c>
      <c r="CQ56" s="5">
        <v>0</v>
      </c>
      <c r="CR56" s="5">
        <v>0</v>
      </c>
      <c r="CS56" s="5">
        <v>0</v>
      </c>
      <c r="CT56" s="5">
        <v>0</v>
      </c>
      <c r="CU56" s="5">
        <v>0</v>
      </c>
      <c r="CV56" s="5">
        <v>0</v>
      </c>
      <c r="CW56" s="5">
        <v>0</v>
      </c>
      <c r="CX56" s="5">
        <v>0</v>
      </c>
      <c r="CY56" s="5">
        <v>0</v>
      </c>
      <c r="CZ56" s="5">
        <v>0</v>
      </c>
      <c r="DA56" s="5">
        <v>0</v>
      </c>
      <c r="DB56" s="5">
        <v>0</v>
      </c>
      <c r="DC56" s="5">
        <v>0</v>
      </c>
      <c r="DD56" s="5">
        <v>0</v>
      </c>
      <c r="DE56" s="5">
        <v>0</v>
      </c>
      <c r="DF56" s="5">
        <v>0</v>
      </c>
      <c r="DG56" s="5">
        <v>0</v>
      </c>
      <c r="DH56" s="5">
        <v>0</v>
      </c>
      <c r="DI56" s="5">
        <v>0</v>
      </c>
      <c r="DJ56" s="5">
        <v>0</v>
      </c>
      <c r="DK56" s="6">
        <v>0</v>
      </c>
    </row>
    <row r="57" spans="1:115" x14ac:dyDescent="0.15">
      <c r="A57" s="4">
        <v>0</v>
      </c>
      <c r="B57" s="5">
        <v>0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5">
        <v>0</v>
      </c>
      <c r="BM57" s="5">
        <v>0</v>
      </c>
      <c r="BN57" s="5">
        <v>0</v>
      </c>
      <c r="BO57" s="5">
        <v>0</v>
      </c>
      <c r="BP57" s="5">
        <v>0</v>
      </c>
      <c r="BQ57" s="5">
        <v>0</v>
      </c>
      <c r="BR57" s="5">
        <v>0</v>
      </c>
      <c r="BS57" s="5">
        <v>0</v>
      </c>
      <c r="BT57" s="5">
        <v>0</v>
      </c>
      <c r="BU57" s="5">
        <v>0</v>
      </c>
      <c r="BV57" s="5">
        <v>0</v>
      </c>
      <c r="BW57" s="5">
        <v>0</v>
      </c>
      <c r="BX57" s="5">
        <v>0</v>
      </c>
      <c r="BY57" s="5">
        <v>0</v>
      </c>
      <c r="BZ57" s="5">
        <v>0</v>
      </c>
      <c r="CA57" s="5">
        <v>0</v>
      </c>
      <c r="CB57" s="5">
        <v>0</v>
      </c>
      <c r="CC57" s="5">
        <v>0</v>
      </c>
      <c r="CD57" s="5">
        <v>0</v>
      </c>
      <c r="CE57" s="5">
        <v>0</v>
      </c>
      <c r="CF57" s="5">
        <v>0</v>
      </c>
      <c r="CG57" s="5">
        <v>0</v>
      </c>
      <c r="CH57" s="5">
        <v>0</v>
      </c>
      <c r="CI57" s="5">
        <v>0</v>
      </c>
      <c r="CJ57" s="5">
        <v>0</v>
      </c>
      <c r="CK57" s="5">
        <v>0</v>
      </c>
      <c r="CL57" s="5">
        <v>0</v>
      </c>
      <c r="CM57" s="5">
        <v>0</v>
      </c>
      <c r="CN57" s="5">
        <v>0</v>
      </c>
      <c r="CO57" s="5">
        <v>0</v>
      </c>
      <c r="CP57" s="5">
        <v>0</v>
      </c>
      <c r="CQ57" s="5">
        <v>0</v>
      </c>
      <c r="CR57" s="5">
        <v>0</v>
      </c>
      <c r="CS57" s="5">
        <v>0</v>
      </c>
      <c r="CT57" s="5">
        <v>0</v>
      </c>
      <c r="CU57" s="5">
        <v>0</v>
      </c>
      <c r="CV57" s="5">
        <v>0</v>
      </c>
      <c r="CW57" s="5">
        <v>0</v>
      </c>
      <c r="CX57" s="5">
        <v>0</v>
      </c>
      <c r="CY57" s="5">
        <v>0</v>
      </c>
      <c r="CZ57" s="5">
        <v>0</v>
      </c>
      <c r="DA57" s="5">
        <v>0</v>
      </c>
      <c r="DB57" s="5">
        <v>0</v>
      </c>
      <c r="DC57" s="5">
        <v>0</v>
      </c>
      <c r="DD57" s="5">
        <v>0</v>
      </c>
      <c r="DE57" s="5">
        <v>0</v>
      </c>
      <c r="DF57" s="5">
        <v>0</v>
      </c>
      <c r="DG57" s="5">
        <v>0</v>
      </c>
      <c r="DH57" s="5">
        <v>0</v>
      </c>
      <c r="DI57" s="5">
        <v>0</v>
      </c>
      <c r="DJ57" s="5">
        <v>0</v>
      </c>
      <c r="DK57" s="6">
        <v>0</v>
      </c>
    </row>
    <row r="58" spans="1:115" x14ac:dyDescent="0.15">
      <c r="A58" s="4">
        <v>0</v>
      </c>
      <c r="B58" s="5">
        <v>0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5">
        <v>0</v>
      </c>
      <c r="BM58" s="5">
        <v>0</v>
      </c>
      <c r="BN58" s="5">
        <v>0</v>
      </c>
      <c r="BO58" s="5">
        <v>0</v>
      </c>
      <c r="BP58" s="5">
        <v>0</v>
      </c>
      <c r="BQ58" s="5">
        <v>0</v>
      </c>
      <c r="BR58" s="5">
        <v>0</v>
      </c>
      <c r="BS58" s="5">
        <v>0</v>
      </c>
      <c r="BT58" s="5">
        <v>0</v>
      </c>
      <c r="BU58" s="5">
        <v>0</v>
      </c>
      <c r="BV58" s="5">
        <v>0</v>
      </c>
      <c r="BW58" s="5">
        <v>0</v>
      </c>
      <c r="BX58" s="5">
        <v>0</v>
      </c>
      <c r="BY58" s="5">
        <v>0</v>
      </c>
      <c r="BZ58" s="5">
        <v>0</v>
      </c>
      <c r="CA58" s="5">
        <v>0</v>
      </c>
      <c r="CB58" s="5">
        <v>0</v>
      </c>
      <c r="CC58" s="5">
        <v>0</v>
      </c>
      <c r="CD58" s="5">
        <v>0</v>
      </c>
      <c r="CE58" s="5">
        <v>0</v>
      </c>
      <c r="CF58" s="5">
        <v>0</v>
      </c>
      <c r="CG58" s="5">
        <v>0</v>
      </c>
      <c r="CH58" s="5">
        <v>0</v>
      </c>
      <c r="CI58" s="5">
        <v>0</v>
      </c>
      <c r="CJ58" s="5">
        <v>0</v>
      </c>
      <c r="CK58" s="5">
        <v>0</v>
      </c>
      <c r="CL58" s="5">
        <v>0</v>
      </c>
      <c r="CM58" s="5">
        <v>0</v>
      </c>
      <c r="CN58" s="5">
        <v>0</v>
      </c>
      <c r="CO58" s="5">
        <v>0</v>
      </c>
      <c r="CP58" s="5">
        <v>0</v>
      </c>
      <c r="CQ58" s="5">
        <v>0</v>
      </c>
      <c r="CR58" s="5">
        <v>0</v>
      </c>
      <c r="CS58" s="5">
        <v>0</v>
      </c>
      <c r="CT58" s="5">
        <v>0</v>
      </c>
      <c r="CU58" s="5">
        <v>0</v>
      </c>
      <c r="CV58" s="5">
        <v>0</v>
      </c>
      <c r="CW58" s="5">
        <v>0</v>
      </c>
      <c r="CX58" s="5">
        <v>0</v>
      </c>
      <c r="CY58" s="5">
        <v>0</v>
      </c>
      <c r="CZ58" s="5">
        <v>0</v>
      </c>
      <c r="DA58" s="5">
        <v>0</v>
      </c>
      <c r="DB58" s="5">
        <v>0</v>
      </c>
      <c r="DC58" s="5">
        <v>0</v>
      </c>
      <c r="DD58" s="5">
        <v>0</v>
      </c>
      <c r="DE58" s="5">
        <v>0</v>
      </c>
      <c r="DF58" s="5">
        <v>0</v>
      </c>
      <c r="DG58" s="5">
        <v>0</v>
      </c>
      <c r="DH58" s="5">
        <v>0</v>
      </c>
      <c r="DI58" s="5">
        <v>0</v>
      </c>
      <c r="DJ58" s="5">
        <v>0</v>
      </c>
      <c r="DK58" s="6">
        <v>0</v>
      </c>
    </row>
    <row r="59" spans="1:115" x14ac:dyDescent="0.15">
      <c r="A59" s="4">
        <v>0</v>
      </c>
      <c r="B59" s="5">
        <v>0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5">
        <v>0</v>
      </c>
      <c r="BM59" s="5">
        <v>0</v>
      </c>
      <c r="BN59" s="5">
        <v>0</v>
      </c>
      <c r="BO59" s="5">
        <v>0</v>
      </c>
      <c r="BP59" s="5">
        <v>0</v>
      </c>
      <c r="BQ59" s="5">
        <v>0</v>
      </c>
      <c r="BR59" s="5">
        <v>0</v>
      </c>
      <c r="BS59" s="5">
        <v>0</v>
      </c>
      <c r="BT59" s="5">
        <v>0</v>
      </c>
      <c r="BU59" s="5">
        <v>0</v>
      </c>
      <c r="BV59" s="5">
        <v>0</v>
      </c>
      <c r="BW59" s="5">
        <v>0</v>
      </c>
      <c r="BX59" s="5">
        <v>0</v>
      </c>
      <c r="BY59" s="5">
        <v>0</v>
      </c>
      <c r="BZ59" s="5">
        <v>0</v>
      </c>
      <c r="CA59" s="5">
        <v>0</v>
      </c>
      <c r="CB59" s="5">
        <v>0</v>
      </c>
      <c r="CC59" s="5">
        <v>0</v>
      </c>
      <c r="CD59" s="5">
        <v>0</v>
      </c>
      <c r="CE59" s="5">
        <v>0</v>
      </c>
      <c r="CF59" s="5">
        <v>0</v>
      </c>
      <c r="CG59" s="5">
        <v>0</v>
      </c>
      <c r="CH59" s="5">
        <v>0</v>
      </c>
      <c r="CI59" s="5">
        <v>0</v>
      </c>
      <c r="CJ59" s="5">
        <v>0</v>
      </c>
      <c r="CK59" s="5">
        <v>0</v>
      </c>
      <c r="CL59" s="5">
        <v>0</v>
      </c>
      <c r="CM59" s="5">
        <v>0</v>
      </c>
      <c r="CN59" s="5">
        <v>0</v>
      </c>
      <c r="CO59" s="5">
        <v>0</v>
      </c>
      <c r="CP59" s="5">
        <v>0</v>
      </c>
      <c r="CQ59" s="5">
        <v>0</v>
      </c>
      <c r="CR59" s="5">
        <v>0</v>
      </c>
      <c r="CS59" s="5">
        <v>0</v>
      </c>
      <c r="CT59" s="5">
        <v>0</v>
      </c>
      <c r="CU59" s="5">
        <v>0</v>
      </c>
      <c r="CV59" s="5">
        <v>0</v>
      </c>
      <c r="CW59" s="5">
        <v>0</v>
      </c>
      <c r="CX59" s="5">
        <v>0</v>
      </c>
      <c r="CY59" s="5">
        <v>0</v>
      </c>
      <c r="CZ59" s="5">
        <v>0</v>
      </c>
      <c r="DA59" s="5">
        <v>0</v>
      </c>
      <c r="DB59" s="5">
        <v>0</v>
      </c>
      <c r="DC59" s="5">
        <v>0</v>
      </c>
      <c r="DD59" s="5">
        <v>0</v>
      </c>
      <c r="DE59" s="5">
        <v>0</v>
      </c>
      <c r="DF59" s="5">
        <v>0</v>
      </c>
      <c r="DG59" s="5">
        <v>0</v>
      </c>
      <c r="DH59" s="5">
        <v>0</v>
      </c>
      <c r="DI59" s="5">
        <v>0</v>
      </c>
      <c r="DJ59" s="5">
        <v>0</v>
      </c>
      <c r="DK59" s="6">
        <v>0</v>
      </c>
    </row>
    <row r="60" spans="1:115" x14ac:dyDescent="0.15">
      <c r="A60" s="4">
        <v>0</v>
      </c>
      <c r="B60" s="5">
        <v>0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5">
        <v>0</v>
      </c>
      <c r="BM60" s="5">
        <v>0</v>
      </c>
      <c r="BN60" s="5">
        <v>0</v>
      </c>
      <c r="BO60" s="5">
        <v>0</v>
      </c>
      <c r="BP60" s="5">
        <v>0</v>
      </c>
      <c r="BQ60" s="5">
        <v>0</v>
      </c>
      <c r="BR60" s="5">
        <v>0</v>
      </c>
      <c r="BS60" s="5">
        <v>0</v>
      </c>
      <c r="BT60" s="5">
        <v>0</v>
      </c>
      <c r="BU60" s="5">
        <v>0</v>
      </c>
      <c r="BV60" s="5">
        <v>0</v>
      </c>
      <c r="BW60" s="5">
        <v>0</v>
      </c>
      <c r="BX60" s="5">
        <v>0</v>
      </c>
      <c r="BY60" s="5">
        <v>0</v>
      </c>
      <c r="BZ60" s="5">
        <v>0</v>
      </c>
      <c r="CA60" s="5">
        <v>0</v>
      </c>
      <c r="CB60" s="5">
        <v>0</v>
      </c>
      <c r="CC60" s="5">
        <v>0</v>
      </c>
      <c r="CD60" s="5">
        <v>0</v>
      </c>
      <c r="CE60" s="5">
        <v>0</v>
      </c>
      <c r="CF60" s="5">
        <v>0</v>
      </c>
      <c r="CG60" s="5">
        <v>0</v>
      </c>
      <c r="CH60" s="5">
        <v>0</v>
      </c>
      <c r="CI60" s="5">
        <v>0</v>
      </c>
      <c r="CJ60" s="5">
        <v>0</v>
      </c>
      <c r="CK60" s="5">
        <v>0</v>
      </c>
      <c r="CL60" s="5">
        <v>0</v>
      </c>
      <c r="CM60" s="5">
        <v>0</v>
      </c>
      <c r="CN60" s="5">
        <v>0</v>
      </c>
      <c r="CO60" s="5">
        <v>0</v>
      </c>
      <c r="CP60" s="5">
        <v>0</v>
      </c>
      <c r="CQ60" s="5">
        <v>0</v>
      </c>
      <c r="CR60" s="5">
        <v>0</v>
      </c>
      <c r="CS60" s="5">
        <v>0</v>
      </c>
      <c r="CT60" s="5">
        <v>0</v>
      </c>
      <c r="CU60" s="5">
        <v>0</v>
      </c>
      <c r="CV60" s="5">
        <v>0</v>
      </c>
      <c r="CW60" s="5">
        <v>0</v>
      </c>
      <c r="CX60" s="5">
        <v>0</v>
      </c>
      <c r="CY60" s="5">
        <v>0</v>
      </c>
      <c r="CZ60" s="5">
        <v>0</v>
      </c>
      <c r="DA60" s="5">
        <v>0</v>
      </c>
      <c r="DB60" s="5">
        <v>0</v>
      </c>
      <c r="DC60" s="5">
        <v>0</v>
      </c>
      <c r="DD60" s="5">
        <v>0</v>
      </c>
      <c r="DE60" s="5">
        <v>0</v>
      </c>
      <c r="DF60" s="5">
        <v>0</v>
      </c>
      <c r="DG60" s="5">
        <v>0</v>
      </c>
      <c r="DH60" s="5">
        <v>0</v>
      </c>
      <c r="DI60" s="5">
        <v>0</v>
      </c>
      <c r="DJ60" s="5">
        <v>0</v>
      </c>
      <c r="DK60" s="6">
        <v>0</v>
      </c>
    </row>
    <row r="61" spans="1:115" x14ac:dyDescent="0.15">
      <c r="A61" s="4">
        <v>0</v>
      </c>
      <c r="B61" s="5">
        <v>0</v>
      </c>
      <c r="C61" s="5">
        <v>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0</v>
      </c>
      <c r="BA61" s="5">
        <v>0</v>
      </c>
      <c r="BB61" s="5">
        <v>0</v>
      </c>
      <c r="BC61" s="5">
        <v>0</v>
      </c>
      <c r="BD61" s="5">
        <v>0</v>
      </c>
      <c r="BE61" s="5">
        <v>0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5">
        <v>0</v>
      </c>
      <c r="BM61" s="5">
        <v>0</v>
      </c>
      <c r="BN61" s="5">
        <v>0</v>
      </c>
      <c r="BO61" s="5">
        <v>0</v>
      </c>
      <c r="BP61" s="5">
        <v>0</v>
      </c>
      <c r="BQ61" s="5">
        <v>0</v>
      </c>
      <c r="BR61" s="5">
        <v>0</v>
      </c>
      <c r="BS61" s="5">
        <v>0</v>
      </c>
      <c r="BT61" s="5">
        <v>0</v>
      </c>
      <c r="BU61" s="5">
        <v>0</v>
      </c>
      <c r="BV61" s="5">
        <v>0</v>
      </c>
      <c r="BW61" s="5">
        <v>0</v>
      </c>
      <c r="BX61" s="5">
        <v>0</v>
      </c>
      <c r="BY61" s="5">
        <v>0</v>
      </c>
      <c r="BZ61" s="5">
        <v>0</v>
      </c>
      <c r="CA61" s="5">
        <v>0</v>
      </c>
      <c r="CB61" s="5">
        <v>0</v>
      </c>
      <c r="CC61" s="5">
        <v>0</v>
      </c>
      <c r="CD61" s="5">
        <v>0</v>
      </c>
      <c r="CE61" s="5">
        <v>0</v>
      </c>
      <c r="CF61" s="5">
        <v>0</v>
      </c>
      <c r="CG61" s="5">
        <v>0</v>
      </c>
      <c r="CH61" s="5">
        <v>0</v>
      </c>
      <c r="CI61" s="5">
        <v>0</v>
      </c>
      <c r="CJ61" s="5">
        <v>0</v>
      </c>
      <c r="CK61" s="5">
        <v>0</v>
      </c>
      <c r="CL61" s="5">
        <v>0</v>
      </c>
      <c r="CM61" s="5">
        <v>0</v>
      </c>
      <c r="CN61" s="5">
        <v>0</v>
      </c>
      <c r="CO61" s="5">
        <v>0</v>
      </c>
      <c r="CP61" s="5">
        <v>0</v>
      </c>
      <c r="CQ61" s="5">
        <v>0</v>
      </c>
      <c r="CR61" s="5">
        <v>0</v>
      </c>
      <c r="CS61" s="5">
        <v>0</v>
      </c>
      <c r="CT61" s="5">
        <v>0</v>
      </c>
      <c r="CU61" s="5">
        <v>0</v>
      </c>
      <c r="CV61" s="5">
        <v>0</v>
      </c>
      <c r="CW61" s="5">
        <v>0</v>
      </c>
      <c r="CX61" s="5">
        <v>0</v>
      </c>
      <c r="CY61" s="5">
        <v>0</v>
      </c>
      <c r="CZ61" s="5">
        <v>0</v>
      </c>
      <c r="DA61" s="5">
        <v>0</v>
      </c>
      <c r="DB61" s="5">
        <v>0</v>
      </c>
      <c r="DC61" s="5">
        <v>0</v>
      </c>
      <c r="DD61" s="5">
        <v>0</v>
      </c>
      <c r="DE61" s="5">
        <v>0</v>
      </c>
      <c r="DF61" s="5">
        <v>0</v>
      </c>
      <c r="DG61" s="5">
        <v>0</v>
      </c>
      <c r="DH61" s="5">
        <v>0</v>
      </c>
      <c r="DI61" s="5">
        <v>0</v>
      </c>
      <c r="DJ61" s="5">
        <v>0</v>
      </c>
      <c r="DK61" s="6">
        <v>0</v>
      </c>
    </row>
    <row r="62" spans="1:115" x14ac:dyDescent="0.15">
      <c r="A62" s="4">
        <v>0</v>
      </c>
      <c r="B62" s="5">
        <v>0</v>
      </c>
      <c r="C62" s="5">
        <v>0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0</v>
      </c>
      <c r="BA62" s="5">
        <v>0</v>
      </c>
      <c r="BB62" s="5">
        <v>0</v>
      </c>
      <c r="BC62" s="5">
        <v>0</v>
      </c>
      <c r="BD62" s="5">
        <v>0</v>
      </c>
      <c r="BE62" s="5">
        <v>0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5">
        <v>0</v>
      </c>
      <c r="BM62" s="5">
        <v>0</v>
      </c>
      <c r="BN62" s="5">
        <v>0</v>
      </c>
      <c r="BO62" s="5">
        <v>0</v>
      </c>
      <c r="BP62" s="5">
        <v>0</v>
      </c>
      <c r="BQ62" s="5">
        <v>0</v>
      </c>
      <c r="BR62" s="5">
        <v>0</v>
      </c>
      <c r="BS62" s="5">
        <v>0</v>
      </c>
      <c r="BT62" s="5">
        <v>0</v>
      </c>
      <c r="BU62" s="5">
        <v>0</v>
      </c>
      <c r="BV62" s="5">
        <v>0</v>
      </c>
      <c r="BW62" s="5">
        <v>0</v>
      </c>
      <c r="BX62" s="5">
        <v>0</v>
      </c>
      <c r="BY62" s="5">
        <v>0</v>
      </c>
      <c r="BZ62" s="5">
        <v>0</v>
      </c>
      <c r="CA62" s="5">
        <v>0</v>
      </c>
      <c r="CB62" s="5">
        <v>0</v>
      </c>
      <c r="CC62" s="5">
        <v>0</v>
      </c>
      <c r="CD62" s="5">
        <v>0</v>
      </c>
      <c r="CE62" s="5">
        <v>0</v>
      </c>
      <c r="CF62" s="5">
        <v>0</v>
      </c>
      <c r="CG62" s="5">
        <v>0</v>
      </c>
      <c r="CH62" s="5">
        <v>0</v>
      </c>
      <c r="CI62" s="5">
        <v>0</v>
      </c>
      <c r="CJ62" s="5">
        <v>0</v>
      </c>
      <c r="CK62" s="5">
        <v>0</v>
      </c>
      <c r="CL62" s="5">
        <v>0</v>
      </c>
      <c r="CM62" s="5">
        <v>0</v>
      </c>
      <c r="CN62" s="5">
        <v>0</v>
      </c>
      <c r="CO62" s="5">
        <v>0</v>
      </c>
      <c r="CP62" s="5">
        <v>0</v>
      </c>
      <c r="CQ62" s="5">
        <v>0</v>
      </c>
      <c r="CR62" s="5">
        <v>0</v>
      </c>
      <c r="CS62" s="5">
        <v>0</v>
      </c>
      <c r="CT62" s="5">
        <v>0</v>
      </c>
      <c r="CU62" s="5">
        <v>0</v>
      </c>
      <c r="CV62" s="5">
        <v>0</v>
      </c>
      <c r="CW62" s="5">
        <v>0</v>
      </c>
      <c r="CX62" s="5">
        <v>0</v>
      </c>
      <c r="CY62" s="5">
        <v>0</v>
      </c>
      <c r="CZ62" s="5">
        <v>0</v>
      </c>
      <c r="DA62" s="5">
        <v>0</v>
      </c>
      <c r="DB62" s="5">
        <v>0</v>
      </c>
      <c r="DC62" s="5">
        <v>0</v>
      </c>
      <c r="DD62" s="5">
        <v>0</v>
      </c>
      <c r="DE62" s="5">
        <v>0</v>
      </c>
      <c r="DF62" s="5">
        <v>0</v>
      </c>
      <c r="DG62" s="5">
        <v>0</v>
      </c>
      <c r="DH62" s="5">
        <v>0</v>
      </c>
      <c r="DI62" s="5">
        <v>0</v>
      </c>
      <c r="DJ62" s="5">
        <v>0</v>
      </c>
      <c r="DK62" s="6">
        <v>0</v>
      </c>
    </row>
    <row r="63" spans="1:115" x14ac:dyDescent="0.15">
      <c r="A63" s="4">
        <v>0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0</v>
      </c>
      <c r="AO63" s="5">
        <v>0</v>
      </c>
      <c r="AP63" s="5">
        <v>0</v>
      </c>
      <c r="AQ63" s="5">
        <v>0</v>
      </c>
      <c r="AR63" s="5">
        <v>0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0</v>
      </c>
      <c r="BA63" s="5">
        <v>0</v>
      </c>
      <c r="BB63" s="5">
        <v>0</v>
      </c>
      <c r="BC63" s="5">
        <v>0</v>
      </c>
      <c r="BD63" s="5">
        <v>0</v>
      </c>
      <c r="BE63" s="5">
        <v>0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5">
        <v>0</v>
      </c>
      <c r="BM63" s="5">
        <v>0</v>
      </c>
      <c r="BN63" s="5">
        <v>0</v>
      </c>
      <c r="BO63" s="5">
        <v>0</v>
      </c>
      <c r="BP63" s="5">
        <v>0</v>
      </c>
      <c r="BQ63" s="5">
        <v>0</v>
      </c>
      <c r="BR63" s="5">
        <v>0</v>
      </c>
      <c r="BS63" s="5">
        <v>0</v>
      </c>
      <c r="BT63" s="5">
        <v>0</v>
      </c>
      <c r="BU63" s="5">
        <v>0</v>
      </c>
      <c r="BV63" s="5">
        <v>0</v>
      </c>
      <c r="BW63" s="5">
        <v>0</v>
      </c>
      <c r="BX63" s="5">
        <v>0</v>
      </c>
      <c r="BY63" s="5">
        <v>0</v>
      </c>
      <c r="BZ63" s="5">
        <v>0</v>
      </c>
      <c r="CA63" s="5">
        <v>0</v>
      </c>
      <c r="CB63" s="5">
        <v>0</v>
      </c>
      <c r="CC63" s="5">
        <v>0</v>
      </c>
      <c r="CD63" s="5">
        <v>0</v>
      </c>
      <c r="CE63" s="5">
        <v>0</v>
      </c>
      <c r="CF63" s="5">
        <v>0</v>
      </c>
      <c r="CG63" s="5">
        <v>0</v>
      </c>
      <c r="CH63" s="5">
        <v>0</v>
      </c>
      <c r="CI63" s="5">
        <v>0</v>
      </c>
      <c r="CJ63" s="5">
        <v>0</v>
      </c>
      <c r="CK63" s="5">
        <v>0</v>
      </c>
      <c r="CL63" s="5">
        <v>0</v>
      </c>
      <c r="CM63" s="5">
        <v>0</v>
      </c>
      <c r="CN63" s="5">
        <v>0</v>
      </c>
      <c r="CO63" s="5">
        <v>0</v>
      </c>
      <c r="CP63" s="5">
        <v>0</v>
      </c>
      <c r="CQ63" s="5">
        <v>0</v>
      </c>
      <c r="CR63" s="5">
        <v>0</v>
      </c>
      <c r="CS63" s="5">
        <v>0</v>
      </c>
      <c r="CT63" s="5">
        <v>0</v>
      </c>
      <c r="CU63" s="5">
        <v>0</v>
      </c>
      <c r="CV63" s="5">
        <v>0</v>
      </c>
      <c r="CW63" s="5">
        <v>0</v>
      </c>
      <c r="CX63" s="5">
        <v>0</v>
      </c>
      <c r="CY63" s="5">
        <v>0</v>
      </c>
      <c r="CZ63" s="5">
        <v>0</v>
      </c>
      <c r="DA63" s="5">
        <v>0</v>
      </c>
      <c r="DB63" s="5">
        <v>0</v>
      </c>
      <c r="DC63" s="5">
        <v>0</v>
      </c>
      <c r="DD63" s="5">
        <v>0</v>
      </c>
      <c r="DE63" s="5">
        <v>0</v>
      </c>
      <c r="DF63" s="5">
        <v>0</v>
      </c>
      <c r="DG63" s="5">
        <v>0</v>
      </c>
      <c r="DH63" s="5">
        <v>0</v>
      </c>
      <c r="DI63" s="5">
        <v>0</v>
      </c>
      <c r="DJ63" s="5">
        <v>0</v>
      </c>
      <c r="DK63" s="6">
        <v>0</v>
      </c>
    </row>
    <row r="64" spans="1:115" x14ac:dyDescent="0.15">
      <c r="A64" s="4">
        <v>0</v>
      </c>
      <c r="B64" s="5">
        <v>0</v>
      </c>
      <c r="C64" s="5">
        <v>0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0</v>
      </c>
      <c r="AO64" s="5">
        <v>0</v>
      </c>
      <c r="AP64" s="5">
        <v>0</v>
      </c>
      <c r="AQ64" s="5">
        <v>0</v>
      </c>
      <c r="AR64" s="5">
        <v>0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0</v>
      </c>
      <c r="BA64" s="5">
        <v>0</v>
      </c>
      <c r="BB64" s="5">
        <v>0</v>
      </c>
      <c r="BC64" s="5">
        <v>0</v>
      </c>
      <c r="BD64" s="5">
        <v>0</v>
      </c>
      <c r="BE64" s="5">
        <v>0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5">
        <v>0</v>
      </c>
      <c r="BM64" s="5">
        <v>0</v>
      </c>
      <c r="BN64" s="5">
        <v>0</v>
      </c>
      <c r="BO64" s="5">
        <v>0</v>
      </c>
      <c r="BP64" s="5">
        <v>0</v>
      </c>
      <c r="BQ64" s="5">
        <v>0</v>
      </c>
      <c r="BR64" s="5">
        <v>0</v>
      </c>
      <c r="BS64" s="5">
        <v>0</v>
      </c>
      <c r="BT64" s="5">
        <v>0</v>
      </c>
      <c r="BU64" s="5">
        <v>0</v>
      </c>
      <c r="BV64" s="5">
        <v>0</v>
      </c>
      <c r="BW64" s="5">
        <v>0</v>
      </c>
      <c r="BX64" s="5">
        <v>0</v>
      </c>
      <c r="BY64" s="5">
        <v>0</v>
      </c>
      <c r="BZ64" s="5">
        <v>0</v>
      </c>
      <c r="CA64" s="5">
        <v>0</v>
      </c>
      <c r="CB64" s="5">
        <v>0</v>
      </c>
      <c r="CC64" s="5">
        <v>0</v>
      </c>
      <c r="CD64" s="5">
        <v>0</v>
      </c>
      <c r="CE64" s="5">
        <v>0</v>
      </c>
      <c r="CF64" s="5">
        <v>0</v>
      </c>
      <c r="CG64" s="5">
        <v>0</v>
      </c>
      <c r="CH64" s="5">
        <v>0</v>
      </c>
      <c r="CI64" s="5">
        <v>0</v>
      </c>
      <c r="CJ64" s="5">
        <v>0</v>
      </c>
      <c r="CK64" s="5">
        <v>0</v>
      </c>
      <c r="CL64" s="5">
        <v>0</v>
      </c>
      <c r="CM64" s="5">
        <v>0</v>
      </c>
      <c r="CN64" s="5">
        <v>0</v>
      </c>
      <c r="CO64" s="5">
        <v>0</v>
      </c>
      <c r="CP64" s="5">
        <v>0</v>
      </c>
      <c r="CQ64" s="5">
        <v>0</v>
      </c>
      <c r="CR64" s="5">
        <v>0</v>
      </c>
      <c r="CS64" s="5">
        <v>0</v>
      </c>
      <c r="CT64" s="5">
        <v>0</v>
      </c>
      <c r="CU64" s="5">
        <v>0</v>
      </c>
      <c r="CV64" s="5">
        <v>0</v>
      </c>
      <c r="CW64" s="5">
        <v>0</v>
      </c>
      <c r="CX64" s="5">
        <v>0</v>
      </c>
      <c r="CY64" s="5">
        <v>0</v>
      </c>
      <c r="CZ64" s="5">
        <v>0</v>
      </c>
      <c r="DA64" s="5">
        <v>0</v>
      </c>
      <c r="DB64" s="5">
        <v>0</v>
      </c>
      <c r="DC64" s="5">
        <v>0</v>
      </c>
      <c r="DD64" s="5">
        <v>0</v>
      </c>
      <c r="DE64" s="5">
        <v>0</v>
      </c>
      <c r="DF64" s="5">
        <v>0</v>
      </c>
      <c r="DG64" s="5">
        <v>0</v>
      </c>
      <c r="DH64" s="5">
        <v>0</v>
      </c>
      <c r="DI64" s="5">
        <v>0</v>
      </c>
      <c r="DJ64" s="5">
        <v>0</v>
      </c>
      <c r="DK64" s="6">
        <v>0</v>
      </c>
    </row>
    <row r="65" spans="1:115" x14ac:dyDescent="0.15">
      <c r="A65" s="4">
        <v>0</v>
      </c>
      <c r="B65" s="5">
        <v>0</v>
      </c>
      <c r="C65" s="5">
        <v>0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0</v>
      </c>
      <c r="AO65" s="5">
        <v>0</v>
      </c>
      <c r="AP65" s="5">
        <v>0</v>
      </c>
      <c r="AQ65" s="5">
        <v>0</v>
      </c>
      <c r="AR65" s="5">
        <v>0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0</v>
      </c>
      <c r="BA65" s="5">
        <v>0</v>
      </c>
      <c r="BB65" s="5">
        <v>0</v>
      </c>
      <c r="BC65" s="5">
        <v>0</v>
      </c>
      <c r="BD65" s="5">
        <v>0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5">
        <v>0</v>
      </c>
      <c r="BM65" s="5">
        <v>0</v>
      </c>
      <c r="BN65" s="5">
        <v>0</v>
      </c>
      <c r="BO65" s="5">
        <v>0</v>
      </c>
      <c r="BP65" s="5">
        <v>0</v>
      </c>
      <c r="BQ65" s="5">
        <v>0</v>
      </c>
      <c r="BR65" s="5">
        <v>0</v>
      </c>
      <c r="BS65" s="5">
        <v>0</v>
      </c>
      <c r="BT65" s="5">
        <v>0</v>
      </c>
      <c r="BU65" s="5">
        <v>0</v>
      </c>
      <c r="BV65" s="5">
        <v>0</v>
      </c>
      <c r="BW65" s="5">
        <v>0</v>
      </c>
      <c r="BX65" s="5">
        <v>0</v>
      </c>
      <c r="BY65" s="5">
        <v>0</v>
      </c>
      <c r="BZ65" s="5">
        <v>0</v>
      </c>
      <c r="CA65" s="5">
        <v>0</v>
      </c>
      <c r="CB65" s="5">
        <v>0</v>
      </c>
      <c r="CC65" s="5">
        <v>0</v>
      </c>
      <c r="CD65" s="5">
        <v>0</v>
      </c>
      <c r="CE65" s="5">
        <v>0</v>
      </c>
      <c r="CF65" s="5">
        <v>0</v>
      </c>
      <c r="CG65" s="5">
        <v>0</v>
      </c>
      <c r="CH65" s="5">
        <v>0</v>
      </c>
      <c r="CI65" s="5">
        <v>0</v>
      </c>
      <c r="CJ65" s="5">
        <v>0</v>
      </c>
      <c r="CK65" s="5">
        <v>0</v>
      </c>
      <c r="CL65" s="5">
        <v>0</v>
      </c>
      <c r="CM65" s="5">
        <v>0</v>
      </c>
      <c r="CN65" s="5">
        <v>0</v>
      </c>
      <c r="CO65" s="5">
        <v>0</v>
      </c>
      <c r="CP65" s="5">
        <v>0</v>
      </c>
      <c r="CQ65" s="5">
        <v>0</v>
      </c>
      <c r="CR65" s="5">
        <v>0</v>
      </c>
      <c r="CS65" s="5">
        <v>0</v>
      </c>
      <c r="CT65" s="5">
        <v>0</v>
      </c>
      <c r="CU65" s="5">
        <v>0</v>
      </c>
      <c r="CV65" s="5">
        <v>0</v>
      </c>
      <c r="CW65" s="5">
        <v>0</v>
      </c>
      <c r="CX65" s="5">
        <v>0</v>
      </c>
      <c r="CY65" s="5">
        <v>0</v>
      </c>
      <c r="CZ65" s="5">
        <v>0</v>
      </c>
      <c r="DA65" s="5">
        <v>0</v>
      </c>
      <c r="DB65" s="5">
        <v>0</v>
      </c>
      <c r="DC65" s="5">
        <v>0</v>
      </c>
      <c r="DD65" s="5">
        <v>0</v>
      </c>
      <c r="DE65" s="5">
        <v>0</v>
      </c>
      <c r="DF65" s="5">
        <v>0</v>
      </c>
      <c r="DG65" s="5">
        <v>0</v>
      </c>
      <c r="DH65" s="5">
        <v>0</v>
      </c>
      <c r="DI65" s="5">
        <v>0</v>
      </c>
      <c r="DJ65" s="5">
        <v>0</v>
      </c>
      <c r="DK65" s="6">
        <v>0</v>
      </c>
    </row>
    <row r="66" spans="1:115" x14ac:dyDescent="0.15">
      <c r="A66" s="4">
        <v>0</v>
      </c>
      <c r="B66" s="5">
        <v>0</v>
      </c>
      <c r="C66" s="5">
        <v>0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0</v>
      </c>
      <c r="AO66" s="5">
        <v>0</v>
      </c>
      <c r="AP66" s="5">
        <v>0</v>
      </c>
      <c r="AQ66" s="5">
        <v>0</v>
      </c>
      <c r="AR66" s="5">
        <v>0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0</v>
      </c>
      <c r="BA66" s="5">
        <v>0</v>
      </c>
      <c r="BB66" s="5">
        <v>0</v>
      </c>
      <c r="BC66" s="5">
        <v>0</v>
      </c>
      <c r="BD66" s="5">
        <v>0</v>
      </c>
      <c r="BE66" s="5">
        <v>0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5">
        <v>0</v>
      </c>
      <c r="BM66" s="5">
        <v>0</v>
      </c>
      <c r="BN66" s="5">
        <v>0</v>
      </c>
      <c r="BO66" s="5">
        <v>0</v>
      </c>
      <c r="BP66" s="5">
        <v>0</v>
      </c>
      <c r="BQ66" s="5">
        <v>0</v>
      </c>
      <c r="BR66" s="5">
        <v>0</v>
      </c>
      <c r="BS66" s="5">
        <v>0</v>
      </c>
      <c r="BT66" s="5">
        <v>0</v>
      </c>
      <c r="BU66" s="5">
        <v>0</v>
      </c>
      <c r="BV66" s="5">
        <v>0</v>
      </c>
      <c r="BW66" s="5">
        <v>0</v>
      </c>
      <c r="BX66" s="5">
        <v>0</v>
      </c>
      <c r="BY66" s="5">
        <v>0</v>
      </c>
      <c r="BZ66" s="5">
        <v>0</v>
      </c>
      <c r="CA66" s="5">
        <v>0</v>
      </c>
      <c r="CB66" s="5">
        <v>0</v>
      </c>
      <c r="CC66" s="5">
        <v>0</v>
      </c>
      <c r="CD66" s="5">
        <v>0</v>
      </c>
      <c r="CE66" s="5">
        <v>0</v>
      </c>
      <c r="CF66" s="5">
        <v>0</v>
      </c>
      <c r="CG66" s="5">
        <v>0</v>
      </c>
      <c r="CH66" s="5">
        <v>0</v>
      </c>
      <c r="CI66" s="5">
        <v>0</v>
      </c>
      <c r="CJ66" s="5">
        <v>0</v>
      </c>
      <c r="CK66" s="5">
        <v>0</v>
      </c>
      <c r="CL66" s="5">
        <v>0</v>
      </c>
      <c r="CM66" s="5">
        <v>0</v>
      </c>
      <c r="CN66" s="5">
        <v>0</v>
      </c>
      <c r="CO66" s="5">
        <v>0</v>
      </c>
      <c r="CP66" s="5">
        <v>0</v>
      </c>
      <c r="CQ66" s="5">
        <v>0</v>
      </c>
      <c r="CR66" s="5">
        <v>0</v>
      </c>
      <c r="CS66" s="5">
        <v>0</v>
      </c>
      <c r="CT66" s="5">
        <v>0</v>
      </c>
      <c r="CU66" s="5">
        <v>0</v>
      </c>
      <c r="CV66" s="5">
        <v>0</v>
      </c>
      <c r="CW66" s="5">
        <v>0</v>
      </c>
      <c r="CX66" s="5">
        <v>0</v>
      </c>
      <c r="CY66" s="5">
        <v>0</v>
      </c>
      <c r="CZ66" s="5">
        <v>0</v>
      </c>
      <c r="DA66" s="5">
        <v>0</v>
      </c>
      <c r="DB66" s="5">
        <v>0</v>
      </c>
      <c r="DC66" s="5">
        <v>0</v>
      </c>
      <c r="DD66" s="5">
        <v>0</v>
      </c>
      <c r="DE66" s="5">
        <v>0</v>
      </c>
      <c r="DF66" s="5">
        <v>0</v>
      </c>
      <c r="DG66" s="5">
        <v>0</v>
      </c>
      <c r="DH66" s="5">
        <v>0</v>
      </c>
      <c r="DI66" s="5">
        <v>0</v>
      </c>
      <c r="DJ66" s="5">
        <v>0</v>
      </c>
      <c r="DK66" s="6">
        <v>0</v>
      </c>
    </row>
    <row r="67" spans="1:115" x14ac:dyDescent="0.15">
      <c r="A67" s="4">
        <v>0</v>
      </c>
      <c r="B67" s="5">
        <v>0</v>
      </c>
      <c r="C67" s="5">
        <v>0</v>
      </c>
      <c r="D67" s="5">
        <v>0</v>
      </c>
      <c r="E67" s="5">
        <v>0</v>
      </c>
      <c r="F67" s="5">
        <v>0</v>
      </c>
      <c r="G67" s="5">
        <v>0</v>
      </c>
      <c r="H67" s="5">
        <v>0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Z67" s="5">
        <v>0</v>
      </c>
      <c r="AA67" s="5">
        <v>0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0</v>
      </c>
      <c r="AO67" s="5">
        <v>0</v>
      </c>
      <c r="AP67" s="5">
        <v>0</v>
      </c>
      <c r="AQ67" s="5">
        <v>0</v>
      </c>
      <c r="AR67" s="5">
        <v>0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0</v>
      </c>
      <c r="BA67" s="5">
        <v>0</v>
      </c>
      <c r="BB67" s="5">
        <v>0</v>
      </c>
      <c r="BC67" s="5">
        <v>0</v>
      </c>
      <c r="BD67" s="5">
        <v>0</v>
      </c>
      <c r="BE67" s="5">
        <v>0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5">
        <v>0</v>
      </c>
      <c r="BM67" s="5">
        <v>0</v>
      </c>
      <c r="BN67" s="5">
        <v>0</v>
      </c>
      <c r="BO67" s="5">
        <v>0</v>
      </c>
      <c r="BP67" s="5">
        <v>0</v>
      </c>
      <c r="BQ67" s="5">
        <v>0</v>
      </c>
      <c r="BR67" s="5">
        <v>0</v>
      </c>
      <c r="BS67" s="5">
        <v>0</v>
      </c>
      <c r="BT67" s="5">
        <v>0</v>
      </c>
      <c r="BU67" s="5">
        <v>0</v>
      </c>
      <c r="BV67" s="5">
        <v>0</v>
      </c>
      <c r="BW67" s="5">
        <v>0</v>
      </c>
      <c r="BX67" s="5">
        <v>0</v>
      </c>
      <c r="BY67" s="5">
        <v>0</v>
      </c>
      <c r="BZ67" s="5">
        <v>0</v>
      </c>
      <c r="CA67" s="5">
        <v>0</v>
      </c>
      <c r="CB67" s="5">
        <v>0</v>
      </c>
      <c r="CC67" s="5">
        <v>0</v>
      </c>
      <c r="CD67" s="5">
        <v>0</v>
      </c>
      <c r="CE67" s="5">
        <v>0</v>
      </c>
      <c r="CF67" s="5">
        <v>0</v>
      </c>
      <c r="CG67" s="5">
        <v>0</v>
      </c>
      <c r="CH67" s="5">
        <v>0</v>
      </c>
      <c r="CI67" s="5">
        <v>0</v>
      </c>
      <c r="CJ67" s="5">
        <v>0</v>
      </c>
      <c r="CK67" s="5">
        <v>0</v>
      </c>
      <c r="CL67" s="5">
        <v>0</v>
      </c>
      <c r="CM67" s="5">
        <v>0</v>
      </c>
      <c r="CN67" s="5">
        <v>0</v>
      </c>
      <c r="CO67" s="5">
        <v>0</v>
      </c>
      <c r="CP67" s="5">
        <v>0</v>
      </c>
      <c r="CQ67" s="5">
        <v>0</v>
      </c>
      <c r="CR67" s="5">
        <v>0</v>
      </c>
      <c r="CS67" s="5">
        <v>0</v>
      </c>
      <c r="CT67" s="5">
        <v>0</v>
      </c>
      <c r="CU67" s="5">
        <v>0</v>
      </c>
      <c r="CV67" s="5">
        <v>0</v>
      </c>
      <c r="CW67" s="5">
        <v>0</v>
      </c>
      <c r="CX67" s="5">
        <v>0</v>
      </c>
      <c r="CY67" s="5">
        <v>0</v>
      </c>
      <c r="CZ67" s="5">
        <v>0</v>
      </c>
      <c r="DA67" s="5">
        <v>0</v>
      </c>
      <c r="DB67" s="5">
        <v>0</v>
      </c>
      <c r="DC67" s="5">
        <v>0</v>
      </c>
      <c r="DD67" s="5">
        <v>0</v>
      </c>
      <c r="DE67" s="5">
        <v>0</v>
      </c>
      <c r="DF67" s="5">
        <v>0</v>
      </c>
      <c r="DG67" s="5">
        <v>0</v>
      </c>
      <c r="DH67" s="5">
        <v>0</v>
      </c>
      <c r="DI67" s="5">
        <v>0</v>
      </c>
      <c r="DJ67" s="5">
        <v>0</v>
      </c>
      <c r="DK67" s="6">
        <v>0</v>
      </c>
    </row>
    <row r="68" spans="1:115" x14ac:dyDescent="0.15">
      <c r="A68" s="4">
        <v>0</v>
      </c>
      <c r="B68" s="5">
        <v>0</v>
      </c>
      <c r="C68" s="5">
        <v>0</v>
      </c>
      <c r="D68" s="5">
        <v>0</v>
      </c>
      <c r="E68" s="5">
        <v>0</v>
      </c>
      <c r="F68" s="5">
        <v>0</v>
      </c>
      <c r="G68" s="5">
        <v>0</v>
      </c>
      <c r="H68" s="5">
        <v>0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Z68" s="5">
        <v>0</v>
      </c>
      <c r="AA68" s="5">
        <v>0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0</v>
      </c>
      <c r="AO68" s="5">
        <v>0</v>
      </c>
      <c r="AP68" s="5">
        <v>0</v>
      </c>
      <c r="AQ68" s="5">
        <v>0</v>
      </c>
      <c r="AR68" s="5">
        <v>0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0</v>
      </c>
      <c r="BA68" s="5">
        <v>0</v>
      </c>
      <c r="BB68" s="5">
        <v>0</v>
      </c>
      <c r="BC68" s="5">
        <v>0</v>
      </c>
      <c r="BD68" s="5">
        <v>0</v>
      </c>
      <c r="BE68" s="5">
        <v>0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5">
        <v>0</v>
      </c>
      <c r="BM68" s="5">
        <v>0</v>
      </c>
      <c r="BN68" s="5">
        <v>0</v>
      </c>
      <c r="BO68" s="5">
        <v>0</v>
      </c>
      <c r="BP68" s="5">
        <v>0</v>
      </c>
      <c r="BQ68" s="5">
        <v>0</v>
      </c>
      <c r="BR68" s="5">
        <v>0</v>
      </c>
      <c r="BS68" s="5">
        <v>0</v>
      </c>
      <c r="BT68" s="5">
        <v>0</v>
      </c>
      <c r="BU68" s="5">
        <v>0</v>
      </c>
      <c r="BV68" s="5">
        <v>0</v>
      </c>
      <c r="BW68" s="5">
        <v>0</v>
      </c>
      <c r="BX68" s="5">
        <v>0</v>
      </c>
      <c r="BY68" s="5">
        <v>0</v>
      </c>
      <c r="BZ68" s="5">
        <v>0</v>
      </c>
      <c r="CA68" s="5">
        <v>0</v>
      </c>
      <c r="CB68" s="5">
        <v>0</v>
      </c>
      <c r="CC68" s="5">
        <v>0</v>
      </c>
      <c r="CD68" s="5">
        <v>0</v>
      </c>
      <c r="CE68" s="5">
        <v>0</v>
      </c>
      <c r="CF68" s="5">
        <v>0</v>
      </c>
      <c r="CG68" s="5">
        <v>0</v>
      </c>
      <c r="CH68" s="5">
        <v>0</v>
      </c>
      <c r="CI68" s="5">
        <v>0</v>
      </c>
      <c r="CJ68" s="5">
        <v>0</v>
      </c>
      <c r="CK68" s="5">
        <v>0</v>
      </c>
      <c r="CL68" s="5">
        <v>0</v>
      </c>
      <c r="CM68" s="5">
        <v>0</v>
      </c>
      <c r="CN68" s="5">
        <v>0</v>
      </c>
      <c r="CO68" s="5">
        <v>0</v>
      </c>
      <c r="CP68" s="5">
        <v>0</v>
      </c>
      <c r="CQ68" s="5">
        <v>0</v>
      </c>
      <c r="CR68" s="5">
        <v>0</v>
      </c>
      <c r="CS68" s="5">
        <v>0</v>
      </c>
      <c r="CT68" s="5">
        <v>0</v>
      </c>
      <c r="CU68" s="5">
        <v>0</v>
      </c>
      <c r="CV68" s="5">
        <v>0</v>
      </c>
      <c r="CW68" s="5">
        <v>0</v>
      </c>
      <c r="CX68" s="5">
        <v>0</v>
      </c>
      <c r="CY68" s="5">
        <v>0</v>
      </c>
      <c r="CZ68" s="5">
        <v>0</v>
      </c>
      <c r="DA68" s="5">
        <v>0</v>
      </c>
      <c r="DB68" s="5">
        <v>0</v>
      </c>
      <c r="DC68" s="5">
        <v>0</v>
      </c>
      <c r="DD68" s="5">
        <v>0</v>
      </c>
      <c r="DE68" s="5">
        <v>0</v>
      </c>
      <c r="DF68" s="5">
        <v>0</v>
      </c>
      <c r="DG68" s="5">
        <v>0</v>
      </c>
      <c r="DH68" s="5">
        <v>0</v>
      </c>
      <c r="DI68" s="5">
        <v>0</v>
      </c>
      <c r="DJ68" s="5">
        <v>0</v>
      </c>
      <c r="DK68" s="6">
        <v>0</v>
      </c>
    </row>
    <row r="69" spans="1:115" x14ac:dyDescent="0.15">
      <c r="A69" s="4">
        <v>0</v>
      </c>
      <c r="B69" s="5">
        <v>0</v>
      </c>
      <c r="C69" s="5">
        <v>0</v>
      </c>
      <c r="D69" s="5">
        <v>0</v>
      </c>
      <c r="E69" s="5">
        <v>0</v>
      </c>
      <c r="F69" s="5">
        <v>0</v>
      </c>
      <c r="G69" s="5">
        <v>0</v>
      </c>
      <c r="H69" s="5">
        <v>0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Z69" s="5">
        <v>0</v>
      </c>
      <c r="AA69" s="5">
        <v>0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0</v>
      </c>
      <c r="AO69" s="5">
        <v>0</v>
      </c>
      <c r="AP69" s="5">
        <v>0</v>
      </c>
      <c r="AQ69" s="5">
        <v>0</v>
      </c>
      <c r="AR69" s="5">
        <v>0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0</v>
      </c>
      <c r="BA69" s="5">
        <v>0</v>
      </c>
      <c r="BB69" s="5">
        <v>0</v>
      </c>
      <c r="BC69" s="5">
        <v>0</v>
      </c>
      <c r="BD69" s="5">
        <v>0</v>
      </c>
      <c r="BE69" s="5">
        <v>0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5">
        <v>0</v>
      </c>
      <c r="BM69" s="5">
        <v>0</v>
      </c>
      <c r="BN69" s="5">
        <v>0</v>
      </c>
      <c r="BO69" s="5">
        <v>0</v>
      </c>
      <c r="BP69" s="5">
        <v>0</v>
      </c>
      <c r="BQ69" s="5">
        <v>0</v>
      </c>
      <c r="BR69" s="5">
        <v>0</v>
      </c>
      <c r="BS69" s="5">
        <v>0</v>
      </c>
      <c r="BT69" s="5">
        <v>0</v>
      </c>
      <c r="BU69" s="5">
        <v>0</v>
      </c>
      <c r="BV69" s="5">
        <v>0</v>
      </c>
      <c r="BW69" s="5">
        <v>0</v>
      </c>
      <c r="BX69" s="5">
        <v>0</v>
      </c>
      <c r="BY69" s="5">
        <v>0</v>
      </c>
      <c r="BZ69" s="5">
        <v>0</v>
      </c>
      <c r="CA69" s="5">
        <v>0</v>
      </c>
      <c r="CB69" s="5">
        <v>0</v>
      </c>
      <c r="CC69" s="5">
        <v>0</v>
      </c>
      <c r="CD69" s="5">
        <v>0</v>
      </c>
      <c r="CE69" s="5">
        <v>0</v>
      </c>
      <c r="CF69" s="5">
        <v>0</v>
      </c>
      <c r="CG69" s="5">
        <v>0</v>
      </c>
      <c r="CH69" s="5">
        <v>0</v>
      </c>
      <c r="CI69" s="5">
        <v>0</v>
      </c>
      <c r="CJ69" s="5">
        <v>0</v>
      </c>
      <c r="CK69" s="5">
        <v>0</v>
      </c>
      <c r="CL69" s="5">
        <v>0</v>
      </c>
      <c r="CM69" s="5">
        <v>0</v>
      </c>
      <c r="CN69" s="5">
        <v>0</v>
      </c>
      <c r="CO69" s="5">
        <v>0</v>
      </c>
      <c r="CP69" s="5">
        <v>0</v>
      </c>
      <c r="CQ69" s="5">
        <v>0</v>
      </c>
      <c r="CR69" s="5">
        <v>0</v>
      </c>
      <c r="CS69" s="5">
        <v>0</v>
      </c>
      <c r="CT69" s="5">
        <v>0</v>
      </c>
      <c r="CU69" s="5">
        <v>0</v>
      </c>
      <c r="CV69" s="5">
        <v>0</v>
      </c>
      <c r="CW69" s="5">
        <v>0</v>
      </c>
      <c r="CX69" s="5">
        <v>0</v>
      </c>
      <c r="CY69" s="5">
        <v>0</v>
      </c>
      <c r="CZ69" s="5">
        <v>0</v>
      </c>
      <c r="DA69" s="5">
        <v>0</v>
      </c>
      <c r="DB69" s="5">
        <v>0</v>
      </c>
      <c r="DC69" s="5">
        <v>0</v>
      </c>
      <c r="DD69" s="5">
        <v>0</v>
      </c>
      <c r="DE69" s="5">
        <v>0</v>
      </c>
      <c r="DF69" s="5">
        <v>0</v>
      </c>
      <c r="DG69" s="5">
        <v>0</v>
      </c>
      <c r="DH69" s="5">
        <v>0</v>
      </c>
      <c r="DI69" s="5">
        <v>0</v>
      </c>
      <c r="DJ69" s="5">
        <v>0</v>
      </c>
      <c r="DK69" s="6">
        <v>0</v>
      </c>
    </row>
    <row r="70" spans="1:115" x14ac:dyDescent="0.15">
      <c r="A70" s="4">
        <v>0</v>
      </c>
      <c r="B70" s="5">
        <v>0</v>
      </c>
      <c r="C70" s="5">
        <v>0</v>
      </c>
      <c r="D70" s="5">
        <v>0</v>
      </c>
      <c r="E70" s="5">
        <v>0</v>
      </c>
      <c r="F70" s="5">
        <v>0</v>
      </c>
      <c r="G70" s="5">
        <v>0</v>
      </c>
      <c r="H70" s="5">
        <v>0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Z70" s="5">
        <v>0</v>
      </c>
      <c r="AA70" s="5">
        <v>0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0</v>
      </c>
      <c r="AO70" s="5">
        <v>0</v>
      </c>
      <c r="AP70" s="5">
        <v>0</v>
      </c>
      <c r="AQ70" s="5">
        <v>0</v>
      </c>
      <c r="AR70" s="5">
        <v>0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0</v>
      </c>
      <c r="BA70" s="5">
        <v>0</v>
      </c>
      <c r="BB70" s="5">
        <v>0</v>
      </c>
      <c r="BC70" s="5">
        <v>0</v>
      </c>
      <c r="BD70" s="5">
        <v>0</v>
      </c>
      <c r="BE70" s="5">
        <v>0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5">
        <v>0</v>
      </c>
      <c r="BM70" s="5">
        <v>0</v>
      </c>
      <c r="BN70" s="5">
        <v>0</v>
      </c>
      <c r="BO70" s="5">
        <v>0</v>
      </c>
      <c r="BP70" s="5">
        <v>0</v>
      </c>
      <c r="BQ70" s="5">
        <v>0</v>
      </c>
      <c r="BR70" s="5">
        <v>0</v>
      </c>
      <c r="BS70" s="5">
        <v>0</v>
      </c>
      <c r="BT70" s="5">
        <v>0</v>
      </c>
      <c r="BU70" s="5">
        <v>0</v>
      </c>
      <c r="BV70" s="5">
        <v>0</v>
      </c>
      <c r="BW70" s="5">
        <v>0</v>
      </c>
      <c r="BX70" s="5">
        <v>0</v>
      </c>
      <c r="BY70" s="5">
        <v>0</v>
      </c>
      <c r="BZ70" s="5">
        <v>0</v>
      </c>
      <c r="CA70" s="5">
        <v>0</v>
      </c>
      <c r="CB70" s="5">
        <v>0</v>
      </c>
      <c r="CC70" s="5">
        <v>0</v>
      </c>
      <c r="CD70" s="5">
        <v>0</v>
      </c>
      <c r="CE70" s="5">
        <v>0</v>
      </c>
      <c r="CF70" s="5">
        <v>0</v>
      </c>
      <c r="CG70" s="5">
        <v>0</v>
      </c>
      <c r="CH70" s="5">
        <v>0</v>
      </c>
      <c r="CI70" s="5">
        <v>0</v>
      </c>
      <c r="CJ70" s="5">
        <v>0</v>
      </c>
      <c r="CK70" s="5">
        <v>0</v>
      </c>
      <c r="CL70" s="5">
        <v>0</v>
      </c>
      <c r="CM70" s="5">
        <v>0</v>
      </c>
      <c r="CN70" s="5">
        <v>0</v>
      </c>
      <c r="CO70" s="5">
        <v>0</v>
      </c>
      <c r="CP70" s="5">
        <v>0</v>
      </c>
      <c r="CQ70" s="5">
        <v>0</v>
      </c>
      <c r="CR70" s="5">
        <v>0</v>
      </c>
      <c r="CS70" s="5">
        <v>0</v>
      </c>
      <c r="CT70" s="5">
        <v>0</v>
      </c>
      <c r="CU70" s="5">
        <v>0</v>
      </c>
      <c r="CV70" s="5">
        <v>0</v>
      </c>
      <c r="CW70" s="5">
        <v>0</v>
      </c>
      <c r="CX70" s="5">
        <v>0</v>
      </c>
      <c r="CY70" s="5">
        <v>0</v>
      </c>
      <c r="CZ70" s="5">
        <v>0</v>
      </c>
      <c r="DA70" s="5">
        <v>0</v>
      </c>
      <c r="DB70" s="5">
        <v>0</v>
      </c>
      <c r="DC70" s="5">
        <v>0</v>
      </c>
      <c r="DD70" s="5">
        <v>0</v>
      </c>
      <c r="DE70" s="5">
        <v>0</v>
      </c>
      <c r="DF70" s="5">
        <v>0</v>
      </c>
      <c r="DG70" s="5">
        <v>0</v>
      </c>
      <c r="DH70" s="5">
        <v>0</v>
      </c>
      <c r="DI70" s="5">
        <v>0</v>
      </c>
      <c r="DJ70" s="5">
        <v>0</v>
      </c>
      <c r="DK70" s="6">
        <v>0</v>
      </c>
    </row>
    <row r="71" spans="1:115" x14ac:dyDescent="0.15">
      <c r="A71" s="4">
        <v>0</v>
      </c>
      <c r="B71" s="5">
        <v>0</v>
      </c>
      <c r="C71" s="5">
        <v>0</v>
      </c>
      <c r="D71" s="5">
        <v>0</v>
      </c>
      <c r="E71" s="5">
        <v>0</v>
      </c>
      <c r="F71" s="5">
        <v>0</v>
      </c>
      <c r="G71" s="5">
        <v>0</v>
      </c>
      <c r="H71" s="5">
        <v>0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Z71" s="5">
        <v>0</v>
      </c>
      <c r="AA71" s="5">
        <v>0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0</v>
      </c>
      <c r="AO71" s="5">
        <v>0</v>
      </c>
      <c r="AP71" s="5">
        <v>0</v>
      </c>
      <c r="AQ71" s="5">
        <v>0</v>
      </c>
      <c r="AR71" s="5">
        <v>0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0</v>
      </c>
      <c r="BA71" s="5">
        <v>0</v>
      </c>
      <c r="BB71" s="5">
        <v>0</v>
      </c>
      <c r="BC71" s="5">
        <v>0</v>
      </c>
      <c r="BD71" s="5">
        <v>0</v>
      </c>
      <c r="BE71" s="5">
        <v>0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5">
        <v>0</v>
      </c>
      <c r="BM71" s="5">
        <v>0</v>
      </c>
      <c r="BN71" s="5">
        <v>0</v>
      </c>
      <c r="BO71" s="5">
        <v>0</v>
      </c>
      <c r="BP71" s="5">
        <v>0</v>
      </c>
      <c r="BQ71" s="5">
        <v>0</v>
      </c>
      <c r="BR71" s="5">
        <v>0</v>
      </c>
      <c r="BS71" s="5">
        <v>0</v>
      </c>
      <c r="BT71" s="5">
        <v>0</v>
      </c>
      <c r="BU71" s="5">
        <v>0</v>
      </c>
      <c r="BV71" s="5">
        <v>0</v>
      </c>
      <c r="BW71" s="5">
        <v>0</v>
      </c>
      <c r="BX71" s="5">
        <v>0</v>
      </c>
      <c r="BY71" s="5">
        <v>0</v>
      </c>
      <c r="BZ71" s="5">
        <v>0</v>
      </c>
      <c r="CA71" s="5">
        <v>0</v>
      </c>
      <c r="CB71" s="5">
        <v>0</v>
      </c>
      <c r="CC71" s="5">
        <v>0</v>
      </c>
      <c r="CD71" s="5">
        <v>0</v>
      </c>
      <c r="CE71" s="5">
        <v>0</v>
      </c>
      <c r="CF71" s="5">
        <v>0</v>
      </c>
      <c r="CG71" s="5">
        <v>0</v>
      </c>
      <c r="CH71" s="5">
        <v>0</v>
      </c>
      <c r="CI71" s="5">
        <v>0</v>
      </c>
      <c r="CJ71" s="5">
        <v>0</v>
      </c>
      <c r="CK71" s="5">
        <v>0</v>
      </c>
      <c r="CL71" s="5">
        <v>0</v>
      </c>
      <c r="CM71" s="5">
        <v>0</v>
      </c>
      <c r="CN71" s="5">
        <v>0</v>
      </c>
      <c r="CO71" s="5">
        <v>0</v>
      </c>
      <c r="CP71" s="5">
        <v>0</v>
      </c>
      <c r="CQ71" s="5">
        <v>0</v>
      </c>
      <c r="CR71" s="5">
        <v>0</v>
      </c>
      <c r="CS71" s="5">
        <v>0</v>
      </c>
      <c r="CT71" s="5">
        <v>0</v>
      </c>
      <c r="CU71" s="5">
        <v>0</v>
      </c>
      <c r="CV71" s="5">
        <v>0</v>
      </c>
      <c r="CW71" s="5">
        <v>0</v>
      </c>
      <c r="CX71" s="5">
        <v>0</v>
      </c>
      <c r="CY71" s="5">
        <v>0</v>
      </c>
      <c r="CZ71" s="5">
        <v>0</v>
      </c>
      <c r="DA71" s="5">
        <v>0</v>
      </c>
      <c r="DB71" s="5">
        <v>0</v>
      </c>
      <c r="DC71" s="5">
        <v>0</v>
      </c>
      <c r="DD71" s="5">
        <v>0</v>
      </c>
      <c r="DE71" s="5">
        <v>0</v>
      </c>
      <c r="DF71" s="5">
        <v>0</v>
      </c>
      <c r="DG71" s="5">
        <v>0</v>
      </c>
      <c r="DH71" s="5">
        <v>0</v>
      </c>
      <c r="DI71" s="5">
        <v>0</v>
      </c>
      <c r="DJ71" s="5">
        <v>0</v>
      </c>
      <c r="DK71" s="6">
        <v>0</v>
      </c>
    </row>
    <row r="72" spans="1:115" x14ac:dyDescent="0.15">
      <c r="A72" s="4">
        <v>0</v>
      </c>
      <c r="B72" s="5">
        <v>0</v>
      </c>
      <c r="C72" s="5">
        <v>0</v>
      </c>
      <c r="D72" s="5">
        <v>0</v>
      </c>
      <c r="E72" s="5">
        <v>0</v>
      </c>
      <c r="F72" s="5">
        <v>0</v>
      </c>
      <c r="G72" s="5">
        <v>0</v>
      </c>
      <c r="H72" s="5">
        <v>0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Z72" s="5">
        <v>0</v>
      </c>
      <c r="AA72" s="5">
        <v>0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5">
        <v>0</v>
      </c>
      <c r="BM72" s="5">
        <v>0</v>
      </c>
      <c r="BN72" s="5">
        <v>0</v>
      </c>
      <c r="BO72" s="5">
        <v>0</v>
      </c>
      <c r="BP72" s="5">
        <v>0</v>
      </c>
      <c r="BQ72" s="5">
        <v>0</v>
      </c>
      <c r="BR72" s="5">
        <v>0</v>
      </c>
      <c r="BS72" s="5">
        <v>0</v>
      </c>
      <c r="BT72" s="5">
        <v>0</v>
      </c>
      <c r="BU72" s="5">
        <v>0</v>
      </c>
      <c r="BV72" s="5">
        <v>0</v>
      </c>
      <c r="BW72" s="5">
        <v>0</v>
      </c>
      <c r="BX72" s="5">
        <v>0</v>
      </c>
      <c r="BY72" s="5">
        <v>0</v>
      </c>
      <c r="BZ72" s="5">
        <v>0</v>
      </c>
      <c r="CA72" s="5">
        <v>0</v>
      </c>
      <c r="CB72" s="5">
        <v>0</v>
      </c>
      <c r="CC72" s="5">
        <v>0</v>
      </c>
      <c r="CD72" s="5">
        <v>0</v>
      </c>
      <c r="CE72" s="5">
        <v>0</v>
      </c>
      <c r="CF72" s="5">
        <v>0</v>
      </c>
      <c r="CG72" s="5">
        <v>0</v>
      </c>
      <c r="CH72" s="5">
        <v>0</v>
      </c>
      <c r="CI72" s="5">
        <v>0</v>
      </c>
      <c r="CJ72" s="5">
        <v>0</v>
      </c>
      <c r="CK72" s="5">
        <v>0</v>
      </c>
      <c r="CL72" s="5">
        <v>0</v>
      </c>
      <c r="CM72" s="5">
        <v>0</v>
      </c>
      <c r="CN72" s="5">
        <v>0</v>
      </c>
      <c r="CO72" s="5">
        <v>0</v>
      </c>
      <c r="CP72" s="5">
        <v>0</v>
      </c>
      <c r="CQ72" s="5">
        <v>0</v>
      </c>
      <c r="CR72" s="5">
        <v>0</v>
      </c>
      <c r="CS72" s="5">
        <v>0</v>
      </c>
      <c r="CT72" s="5">
        <v>0</v>
      </c>
      <c r="CU72" s="5">
        <v>0</v>
      </c>
      <c r="CV72" s="5">
        <v>0</v>
      </c>
      <c r="CW72" s="5">
        <v>0</v>
      </c>
      <c r="CX72" s="5">
        <v>0</v>
      </c>
      <c r="CY72" s="5">
        <v>0</v>
      </c>
      <c r="CZ72" s="5">
        <v>0</v>
      </c>
      <c r="DA72" s="5">
        <v>0</v>
      </c>
      <c r="DB72" s="5">
        <v>0</v>
      </c>
      <c r="DC72" s="5">
        <v>0</v>
      </c>
      <c r="DD72" s="5">
        <v>0</v>
      </c>
      <c r="DE72" s="5">
        <v>0</v>
      </c>
      <c r="DF72" s="5">
        <v>0</v>
      </c>
      <c r="DG72" s="5">
        <v>0</v>
      </c>
      <c r="DH72" s="5">
        <v>0</v>
      </c>
      <c r="DI72" s="5">
        <v>0</v>
      </c>
      <c r="DJ72" s="5">
        <v>0</v>
      </c>
      <c r="DK72" s="6">
        <v>0</v>
      </c>
    </row>
    <row r="73" spans="1:115" x14ac:dyDescent="0.15">
      <c r="A73" s="4">
        <v>0</v>
      </c>
      <c r="B73" s="5">
        <v>0</v>
      </c>
      <c r="C73" s="5">
        <v>0</v>
      </c>
      <c r="D73" s="5">
        <v>0</v>
      </c>
      <c r="E73" s="5">
        <v>0</v>
      </c>
      <c r="F73" s="5">
        <v>0</v>
      </c>
      <c r="G73" s="5">
        <v>0</v>
      </c>
      <c r="H73" s="5">
        <v>0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Z73" s="5">
        <v>0</v>
      </c>
      <c r="AA73" s="5">
        <v>0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0</v>
      </c>
      <c r="BA73" s="5">
        <v>0</v>
      </c>
      <c r="BB73" s="5">
        <v>0</v>
      </c>
      <c r="BC73" s="5">
        <v>0</v>
      </c>
      <c r="BD73" s="5">
        <v>0</v>
      </c>
      <c r="BE73" s="5">
        <v>0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5">
        <v>0</v>
      </c>
      <c r="BM73" s="5">
        <v>0</v>
      </c>
      <c r="BN73" s="5">
        <v>0</v>
      </c>
      <c r="BO73" s="5">
        <v>0</v>
      </c>
      <c r="BP73" s="5">
        <v>0</v>
      </c>
      <c r="BQ73" s="5">
        <v>0</v>
      </c>
      <c r="BR73" s="5">
        <v>0</v>
      </c>
      <c r="BS73" s="5">
        <v>0</v>
      </c>
      <c r="BT73" s="5">
        <v>0</v>
      </c>
      <c r="BU73" s="5">
        <v>0</v>
      </c>
      <c r="BV73" s="5">
        <v>0</v>
      </c>
      <c r="BW73" s="5">
        <v>0</v>
      </c>
      <c r="BX73" s="5">
        <v>0</v>
      </c>
      <c r="BY73" s="5">
        <v>0</v>
      </c>
      <c r="BZ73" s="5">
        <v>0</v>
      </c>
      <c r="CA73" s="5">
        <v>0</v>
      </c>
      <c r="CB73" s="5">
        <v>0</v>
      </c>
      <c r="CC73" s="5">
        <v>0</v>
      </c>
      <c r="CD73" s="5">
        <v>0</v>
      </c>
      <c r="CE73" s="5">
        <v>0</v>
      </c>
      <c r="CF73" s="5">
        <v>0</v>
      </c>
      <c r="CG73" s="5">
        <v>0</v>
      </c>
      <c r="CH73" s="5">
        <v>0</v>
      </c>
      <c r="CI73" s="5">
        <v>0</v>
      </c>
      <c r="CJ73" s="5">
        <v>0</v>
      </c>
      <c r="CK73" s="5">
        <v>0</v>
      </c>
      <c r="CL73" s="5">
        <v>0</v>
      </c>
      <c r="CM73" s="5">
        <v>0</v>
      </c>
      <c r="CN73" s="5">
        <v>0</v>
      </c>
      <c r="CO73" s="5">
        <v>0</v>
      </c>
      <c r="CP73" s="5">
        <v>0</v>
      </c>
      <c r="CQ73" s="5">
        <v>0</v>
      </c>
      <c r="CR73" s="5">
        <v>0</v>
      </c>
      <c r="CS73" s="5">
        <v>0</v>
      </c>
      <c r="CT73" s="5">
        <v>0</v>
      </c>
      <c r="CU73" s="5">
        <v>0</v>
      </c>
      <c r="CV73" s="5">
        <v>0</v>
      </c>
      <c r="CW73" s="5">
        <v>0</v>
      </c>
      <c r="CX73" s="5">
        <v>0</v>
      </c>
      <c r="CY73" s="5">
        <v>0</v>
      </c>
      <c r="CZ73" s="5">
        <v>0</v>
      </c>
      <c r="DA73" s="5">
        <v>0</v>
      </c>
      <c r="DB73" s="5">
        <v>0</v>
      </c>
      <c r="DC73" s="5">
        <v>0</v>
      </c>
      <c r="DD73" s="5">
        <v>0</v>
      </c>
      <c r="DE73" s="5">
        <v>0</v>
      </c>
      <c r="DF73" s="5">
        <v>0</v>
      </c>
      <c r="DG73" s="5">
        <v>0</v>
      </c>
      <c r="DH73" s="5">
        <v>0</v>
      </c>
      <c r="DI73" s="5">
        <v>0</v>
      </c>
      <c r="DJ73" s="5">
        <v>0</v>
      </c>
      <c r="DK73" s="6">
        <v>0</v>
      </c>
    </row>
    <row r="74" spans="1:115" x14ac:dyDescent="0.15">
      <c r="A74" s="4">
        <v>0</v>
      </c>
      <c r="B74" s="5">
        <v>0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0</v>
      </c>
      <c r="BA74" s="5">
        <v>0</v>
      </c>
      <c r="BB74" s="5">
        <v>0</v>
      </c>
      <c r="BC74" s="5">
        <v>0</v>
      </c>
      <c r="BD74" s="5">
        <v>0</v>
      </c>
      <c r="BE74" s="5">
        <v>0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5">
        <v>0</v>
      </c>
      <c r="BM74" s="5">
        <v>0</v>
      </c>
      <c r="BN74" s="5">
        <v>0</v>
      </c>
      <c r="BO74" s="5">
        <v>0</v>
      </c>
      <c r="BP74" s="5">
        <v>0</v>
      </c>
      <c r="BQ74" s="5">
        <v>0</v>
      </c>
      <c r="BR74" s="5">
        <v>0</v>
      </c>
      <c r="BS74" s="5">
        <v>0</v>
      </c>
      <c r="BT74" s="5">
        <v>0</v>
      </c>
      <c r="BU74" s="5">
        <v>0</v>
      </c>
      <c r="BV74" s="5">
        <v>0</v>
      </c>
      <c r="BW74" s="5">
        <v>0</v>
      </c>
      <c r="BX74" s="5">
        <v>0</v>
      </c>
      <c r="BY74" s="5">
        <v>0</v>
      </c>
      <c r="BZ74" s="5">
        <v>0</v>
      </c>
      <c r="CA74" s="5">
        <v>0</v>
      </c>
      <c r="CB74" s="5">
        <v>0</v>
      </c>
      <c r="CC74" s="5">
        <v>0</v>
      </c>
      <c r="CD74" s="5">
        <v>0</v>
      </c>
      <c r="CE74" s="5">
        <v>0</v>
      </c>
      <c r="CF74" s="5">
        <v>0</v>
      </c>
      <c r="CG74" s="5">
        <v>0</v>
      </c>
      <c r="CH74" s="5">
        <v>0</v>
      </c>
      <c r="CI74" s="5">
        <v>0</v>
      </c>
      <c r="CJ74" s="5">
        <v>0</v>
      </c>
      <c r="CK74" s="5">
        <v>0</v>
      </c>
      <c r="CL74" s="5">
        <v>0</v>
      </c>
      <c r="CM74" s="5">
        <v>0</v>
      </c>
      <c r="CN74" s="5">
        <v>0</v>
      </c>
      <c r="CO74" s="5">
        <v>0</v>
      </c>
      <c r="CP74" s="5">
        <v>0</v>
      </c>
      <c r="CQ74" s="5">
        <v>0</v>
      </c>
      <c r="CR74" s="5">
        <v>0</v>
      </c>
      <c r="CS74" s="5">
        <v>0</v>
      </c>
      <c r="CT74" s="5">
        <v>0</v>
      </c>
      <c r="CU74" s="5">
        <v>0</v>
      </c>
      <c r="CV74" s="5">
        <v>0</v>
      </c>
      <c r="CW74" s="5">
        <v>0</v>
      </c>
      <c r="CX74" s="5">
        <v>0</v>
      </c>
      <c r="CY74" s="5">
        <v>0</v>
      </c>
      <c r="CZ74" s="5">
        <v>0</v>
      </c>
      <c r="DA74" s="5">
        <v>0</v>
      </c>
      <c r="DB74" s="5">
        <v>0</v>
      </c>
      <c r="DC74" s="5">
        <v>0</v>
      </c>
      <c r="DD74" s="5">
        <v>0</v>
      </c>
      <c r="DE74" s="5">
        <v>0</v>
      </c>
      <c r="DF74" s="5">
        <v>0</v>
      </c>
      <c r="DG74" s="5">
        <v>0</v>
      </c>
      <c r="DH74" s="5">
        <v>0</v>
      </c>
      <c r="DI74" s="5">
        <v>0</v>
      </c>
      <c r="DJ74" s="5">
        <v>0</v>
      </c>
      <c r="DK74" s="6">
        <v>0</v>
      </c>
    </row>
    <row r="75" spans="1:115" x14ac:dyDescent="0.15">
      <c r="A75" s="4">
        <v>0</v>
      </c>
      <c r="B75" s="5">
        <v>0</v>
      </c>
      <c r="C75" s="5">
        <v>0</v>
      </c>
      <c r="D75" s="5">
        <v>0</v>
      </c>
      <c r="E75" s="5">
        <v>0</v>
      </c>
      <c r="F75" s="5">
        <v>0</v>
      </c>
      <c r="G75" s="5">
        <v>0</v>
      </c>
      <c r="H75" s="5">
        <v>0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 s="5">
        <v>0</v>
      </c>
      <c r="O75" s="5">
        <v>0</v>
      </c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Z75" s="5">
        <v>0</v>
      </c>
      <c r="AA75" s="5">
        <v>0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0</v>
      </c>
      <c r="BA75" s="5">
        <v>0</v>
      </c>
      <c r="BB75" s="5">
        <v>0</v>
      </c>
      <c r="BC75" s="5">
        <v>0</v>
      </c>
      <c r="BD75" s="5">
        <v>0</v>
      </c>
      <c r="BE75" s="5">
        <v>0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5">
        <v>0</v>
      </c>
      <c r="BM75" s="5">
        <v>0</v>
      </c>
      <c r="BN75" s="5">
        <v>0</v>
      </c>
      <c r="BO75" s="5">
        <v>0</v>
      </c>
      <c r="BP75" s="5">
        <v>0</v>
      </c>
      <c r="BQ75" s="5">
        <v>0</v>
      </c>
      <c r="BR75" s="5">
        <v>0</v>
      </c>
      <c r="BS75" s="5">
        <v>0</v>
      </c>
      <c r="BT75" s="5">
        <v>0</v>
      </c>
      <c r="BU75" s="5">
        <v>0</v>
      </c>
      <c r="BV75" s="5">
        <v>0</v>
      </c>
      <c r="BW75" s="5">
        <v>0</v>
      </c>
      <c r="BX75" s="5">
        <v>0</v>
      </c>
      <c r="BY75" s="5">
        <v>0</v>
      </c>
      <c r="BZ75" s="5">
        <v>0</v>
      </c>
      <c r="CA75" s="5">
        <v>0</v>
      </c>
      <c r="CB75" s="5">
        <v>0</v>
      </c>
      <c r="CC75" s="5">
        <v>0</v>
      </c>
      <c r="CD75" s="5">
        <v>0</v>
      </c>
      <c r="CE75" s="5">
        <v>0</v>
      </c>
      <c r="CF75" s="5">
        <v>0</v>
      </c>
      <c r="CG75" s="5">
        <v>0</v>
      </c>
      <c r="CH75" s="5">
        <v>0</v>
      </c>
      <c r="CI75" s="5">
        <v>0</v>
      </c>
      <c r="CJ75" s="5">
        <v>0</v>
      </c>
      <c r="CK75" s="5">
        <v>0</v>
      </c>
      <c r="CL75" s="5">
        <v>0</v>
      </c>
      <c r="CM75" s="5">
        <v>0</v>
      </c>
      <c r="CN75" s="5">
        <v>0</v>
      </c>
      <c r="CO75" s="5">
        <v>0</v>
      </c>
      <c r="CP75" s="5">
        <v>0</v>
      </c>
      <c r="CQ75" s="5">
        <v>0</v>
      </c>
      <c r="CR75" s="5">
        <v>0</v>
      </c>
      <c r="CS75" s="5">
        <v>0</v>
      </c>
      <c r="CT75" s="5">
        <v>0</v>
      </c>
      <c r="CU75" s="5">
        <v>0</v>
      </c>
      <c r="CV75" s="5">
        <v>0</v>
      </c>
      <c r="CW75" s="5">
        <v>0</v>
      </c>
      <c r="CX75" s="5">
        <v>0</v>
      </c>
      <c r="CY75" s="5">
        <v>0</v>
      </c>
      <c r="CZ75" s="5">
        <v>0</v>
      </c>
      <c r="DA75" s="5">
        <v>0</v>
      </c>
      <c r="DB75" s="5">
        <v>0</v>
      </c>
      <c r="DC75" s="5">
        <v>0</v>
      </c>
      <c r="DD75" s="5">
        <v>0</v>
      </c>
      <c r="DE75" s="5">
        <v>0</v>
      </c>
      <c r="DF75" s="5">
        <v>0</v>
      </c>
      <c r="DG75" s="5">
        <v>0</v>
      </c>
      <c r="DH75" s="5">
        <v>0</v>
      </c>
      <c r="DI75" s="5">
        <v>0</v>
      </c>
      <c r="DJ75" s="5">
        <v>0</v>
      </c>
      <c r="DK75" s="6">
        <v>0</v>
      </c>
    </row>
    <row r="76" spans="1:115" x14ac:dyDescent="0.15">
      <c r="A76" s="4">
        <v>0</v>
      </c>
      <c r="B76" s="5">
        <v>0</v>
      </c>
      <c r="C76" s="5">
        <v>0</v>
      </c>
      <c r="D76" s="5">
        <v>0</v>
      </c>
      <c r="E76" s="5">
        <v>0</v>
      </c>
      <c r="F76" s="5">
        <v>0</v>
      </c>
      <c r="G76" s="5">
        <v>0</v>
      </c>
      <c r="H76" s="5">
        <v>0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 s="5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Z76" s="5">
        <v>0</v>
      </c>
      <c r="AA76" s="5">
        <v>0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0</v>
      </c>
      <c r="BA76" s="5">
        <v>0</v>
      </c>
      <c r="BB76" s="5">
        <v>0</v>
      </c>
      <c r="BC76" s="5">
        <v>0</v>
      </c>
      <c r="BD76" s="5">
        <v>0</v>
      </c>
      <c r="BE76" s="5">
        <v>0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5">
        <v>0</v>
      </c>
      <c r="BM76" s="5">
        <v>0</v>
      </c>
      <c r="BN76" s="5">
        <v>0</v>
      </c>
      <c r="BO76" s="5">
        <v>0</v>
      </c>
      <c r="BP76" s="5">
        <v>0</v>
      </c>
      <c r="BQ76" s="5">
        <v>0</v>
      </c>
      <c r="BR76" s="5">
        <v>0</v>
      </c>
      <c r="BS76" s="5">
        <v>0</v>
      </c>
      <c r="BT76" s="5">
        <v>0</v>
      </c>
      <c r="BU76" s="5">
        <v>0</v>
      </c>
      <c r="BV76" s="5">
        <v>0</v>
      </c>
      <c r="BW76" s="5">
        <v>0</v>
      </c>
      <c r="BX76" s="5">
        <v>0</v>
      </c>
      <c r="BY76" s="5">
        <v>0</v>
      </c>
      <c r="BZ76" s="5">
        <v>0</v>
      </c>
      <c r="CA76" s="5">
        <v>0</v>
      </c>
      <c r="CB76" s="5">
        <v>0</v>
      </c>
      <c r="CC76" s="5">
        <v>0</v>
      </c>
      <c r="CD76" s="5">
        <v>0</v>
      </c>
      <c r="CE76" s="5">
        <v>0</v>
      </c>
      <c r="CF76" s="5">
        <v>0</v>
      </c>
      <c r="CG76" s="5">
        <v>0</v>
      </c>
      <c r="CH76" s="5">
        <v>0</v>
      </c>
      <c r="CI76" s="5">
        <v>0</v>
      </c>
      <c r="CJ76" s="5">
        <v>0</v>
      </c>
      <c r="CK76" s="5">
        <v>0</v>
      </c>
      <c r="CL76" s="5">
        <v>0</v>
      </c>
      <c r="CM76" s="5">
        <v>0</v>
      </c>
      <c r="CN76" s="5">
        <v>0</v>
      </c>
      <c r="CO76" s="5">
        <v>0</v>
      </c>
      <c r="CP76" s="5">
        <v>0</v>
      </c>
      <c r="CQ76" s="5">
        <v>0</v>
      </c>
      <c r="CR76" s="5">
        <v>0</v>
      </c>
      <c r="CS76" s="5">
        <v>0</v>
      </c>
      <c r="CT76" s="5">
        <v>0</v>
      </c>
      <c r="CU76" s="5">
        <v>0</v>
      </c>
      <c r="CV76" s="5">
        <v>0</v>
      </c>
      <c r="CW76" s="5">
        <v>0</v>
      </c>
      <c r="CX76" s="5">
        <v>0</v>
      </c>
      <c r="CY76" s="5">
        <v>0</v>
      </c>
      <c r="CZ76" s="5">
        <v>0</v>
      </c>
      <c r="DA76" s="5">
        <v>0</v>
      </c>
      <c r="DB76" s="5">
        <v>0</v>
      </c>
      <c r="DC76" s="5">
        <v>0</v>
      </c>
      <c r="DD76" s="5">
        <v>0</v>
      </c>
      <c r="DE76" s="5">
        <v>0</v>
      </c>
      <c r="DF76" s="5">
        <v>0</v>
      </c>
      <c r="DG76" s="5">
        <v>0</v>
      </c>
      <c r="DH76" s="5">
        <v>0</v>
      </c>
      <c r="DI76" s="5">
        <v>0</v>
      </c>
      <c r="DJ76" s="5">
        <v>0</v>
      </c>
      <c r="DK76" s="6">
        <v>0</v>
      </c>
    </row>
    <row r="77" spans="1:115" x14ac:dyDescent="0.15">
      <c r="A77" s="4">
        <v>0</v>
      </c>
      <c r="B77" s="5">
        <v>0</v>
      </c>
      <c r="C77" s="5">
        <v>0</v>
      </c>
      <c r="D77" s="5">
        <v>0</v>
      </c>
      <c r="E77" s="5">
        <v>0</v>
      </c>
      <c r="F77" s="5">
        <v>0</v>
      </c>
      <c r="G77" s="5">
        <v>0</v>
      </c>
      <c r="H77" s="5">
        <v>0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 s="5">
        <v>0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0</v>
      </c>
      <c r="Z77" s="5">
        <v>0</v>
      </c>
      <c r="AA77" s="5">
        <v>0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0</v>
      </c>
      <c r="BA77" s="5">
        <v>0</v>
      </c>
      <c r="BB77" s="5">
        <v>0</v>
      </c>
      <c r="BC77" s="5">
        <v>0</v>
      </c>
      <c r="BD77" s="5">
        <v>0</v>
      </c>
      <c r="BE77" s="5">
        <v>0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5">
        <v>0</v>
      </c>
      <c r="BM77" s="5">
        <v>0</v>
      </c>
      <c r="BN77" s="5">
        <v>0</v>
      </c>
      <c r="BO77" s="5">
        <v>0</v>
      </c>
      <c r="BP77" s="5">
        <v>0</v>
      </c>
      <c r="BQ77" s="5">
        <v>0</v>
      </c>
      <c r="BR77" s="5">
        <v>0</v>
      </c>
      <c r="BS77" s="5">
        <v>0</v>
      </c>
      <c r="BT77" s="5">
        <v>0</v>
      </c>
      <c r="BU77" s="5">
        <v>0</v>
      </c>
      <c r="BV77" s="5">
        <v>0</v>
      </c>
      <c r="BW77" s="5">
        <v>0</v>
      </c>
      <c r="BX77" s="5">
        <v>0</v>
      </c>
      <c r="BY77" s="5">
        <v>0</v>
      </c>
      <c r="BZ77" s="5">
        <v>0</v>
      </c>
      <c r="CA77" s="5">
        <v>0</v>
      </c>
      <c r="CB77" s="5">
        <v>0</v>
      </c>
      <c r="CC77" s="5">
        <v>0</v>
      </c>
      <c r="CD77" s="5">
        <v>0</v>
      </c>
      <c r="CE77" s="5">
        <v>0</v>
      </c>
      <c r="CF77" s="5">
        <v>0</v>
      </c>
      <c r="CG77" s="5">
        <v>0</v>
      </c>
      <c r="CH77" s="5">
        <v>0</v>
      </c>
      <c r="CI77" s="5">
        <v>0</v>
      </c>
      <c r="CJ77" s="5">
        <v>0</v>
      </c>
      <c r="CK77" s="5">
        <v>0</v>
      </c>
      <c r="CL77" s="5">
        <v>0</v>
      </c>
      <c r="CM77" s="5">
        <v>0</v>
      </c>
      <c r="CN77" s="5">
        <v>0</v>
      </c>
      <c r="CO77" s="5">
        <v>0</v>
      </c>
      <c r="CP77" s="5">
        <v>0</v>
      </c>
      <c r="CQ77" s="5">
        <v>0</v>
      </c>
      <c r="CR77" s="5">
        <v>0</v>
      </c>
      <c r="CS77" s="5">
        <v>0</v>
      </c>
      <c r="CT77" s="5">
        <v>0</v>
      </c>
      <c r="CU77" s="5">
        <v>0</v>
      </c>
      <c r="CV77" s="5">
        <v>0</v>
      </c>
      <c r="CW77" s="5">
        <v>0</v>
      </c>
      <c r="CX77" s="5">
        <v>0</v>
      </c>
      <c r="CY77" s="5">
        <v>0</v>
      </c>
      <c r="CZ77" s="5">
        <v>0</v>
      </c>
      <c r="DA77" s="5">
        <v>0</v>
      </c>
      <c r="DB77" s="5">
        <v>0</v>
      </c>
      <c r="DC77" s="5">
        <v>0</v>
      </c>
      <c r="DD77" s="5">
        <v>0</v>
      </c>
      <c r="DE77" s="5">
        <v>0</v>
      </c>
      <c r="DF77" s="5">
        <v>0</v>
      </c>
      <c r="DG77" s="5">
        <v>0</v>
      </c>
      <c r="DH77" s="5">
        <v>0</v>
      </c>
      <c r="DI77" s="5">
        <v>0</v>
      </c>
      <c r="DJ77" s="5">
        <v>0</v>
      </c>
      <c r="DK77" s="6">
        <v>0</v>
      </c>
    </row>
    <row r="78" spans="1:115" x14ac:dyDescent="0.15">
      <c r="A78" s="4">
        <v>0</v>
      </c>
      <c r="B78" s="5">
        <v>0</v>
      </c>
      <c r="C78" s="5">
        <v>0</v>
      </c>
      <c r="D78" s="5">
        <v>0</v>
      </c>
      <c r="E78" s="5">
        <v>0</v>
      </c>
      <c r="F78" s="5">
        <v>0</v>
      </c>
      <c r="G78" s="5">
        <v>0</v>
      </c>
      <c r="H78" s="5">
        <v>0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 s="5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0</v>
      </c>
      <c r="Z78" s="5">
        <v>0</v>
      </c>
      <c r="AA78" s="5">
        <v>0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0</v>
      </c>
      <c r="BA78" s="5">
        <v>0</v>
      </c>
      <c r="BB78" s="5">
        <v>0</v>
      </c>
      <c r="BC78" s="5">
        <v>0</v>
      </c>
      <c r="BD78" s="5">
        <v>0</v>
      </c>
      <c r="BE78" s="5">
        <v>0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5">
        <v>0</v>
      </c>
      <c r="BM78" s="5">
        <v>0</v>
      </c>
      <c r="BN78" s="5">
        <v>0</v>
      </c>
      <c r="BO78" s="5">
        <v>0</v>
      </c>
      <c r="BP78" s="5">
        <v>0</v>
      </c>
      <c r="BQ78" s="5">
        <v>0</v>
      </c>
      <c r="BR78" s="5">
        <v>0</v>
      </c>
      <c r="BS78" s="5">
        <v>0</v>
      </c>
      <c r="BT78" s="5">
        <v>0</v>
      </c>
      <c r="BU78" s="5">
        <v>0</v>
      </c>
      <c r="BV78" s="5">
        <v>0</v>
      </c>
      <c r="BW78" s="5">
        <v>0</v>
      </c>
      <c r="BX78" s="5">
        <v>0</v>
      </c>
      <c r="BY78" s="5">
        <v>0</v>
      </c>
      <c r="BZ78" s="5">
        <v>0</v>
      </c>
      <c r="CA78" s="5">
        <v>0</v>
      </c>
      <c r="CB78" s="5">
        <v>0</v>
      </c>
      <c r="CC78" s="5">
        <v>0</v>
      </c>
      <c r="CD78" s="5">
        <v>0</v>
      </c>
      <c r="CE78" s="5">
        <v>0</v>
      </c>
      <c r="CF78" s="5">
        <v>0</v>
      </c>
      <c r="CG78" s="5">
        <v>0</v>
      </c>
      <c r="CH78" s="5">
        <v>0</v>
      </c>
      <c r="CI78" s="5">
        <v>0</v>
      </c>
      <c r="CJ78" s="5">
        <v>0</v>
      </c>
      <c r="CK78" s="5">
        <v>0</v>
      </c>
      <c r="CL78" s="5">
        <v>0</v>
      </c>
      <c r="CM78" s="5">
        <v>0</v>
      </c>
      <c r="CN78" s="5">
        <v>0</v>
      </c>
      <c r="CO78" s="5">
        <v>0</v>
      </c>
      <c r="CP78" s="5">
        <v>0</v>
      </c>
      <c r="CQ78" s="5">
        <v>0</v>
      </c>
      <c r="CR78" s="5">
        <v>0</v>
      </c>
      <c r="CS78" s="5">
        <v>0</v>
      </c>
      <c r="CT78" s="5">
        <v>0</v>
      </c>
      <c r="CU78" s="5">
        <v>0</v>
      </c>
      <c r="CV78" s="5">
        <v>0</v>
      </c>
      <c r="CW78" s="5">
        <v>0</v>
      </c>
      <c r="CX78" s="5">
        <v>0</v>
      </c>
      <c r="CY78" s="5">
        <v>0</v>
      </c>
      <c r="CZ78" s="5">
        <v>0</v>
      </c>
      <c r="DA78" s="5">
        <v>0</v>
      </c>
      <c r="DB78" s="5">
        <v>0</v>
      </c>
      <c r="DC78" s="5">
        <v>0</v>
      </c>
      <c r="DD78" s="5">
        <v>0</v>
      </c>
      <c r="DE78" s="5">
        <v>0</v>
      </c>
      <c r="DF78" s="5">
        <v>0</v>
      </c>
      <c r="DG78" s="5">
        <v>0</v>
      </c>
      <c r="DH78" s="5">
        <v>0</v>
      </c>
      <c r="DI78" s="5">
        <v>0</v>
      </c>
      <c r="DJ78" s="5">
        <v>0</v>
      </c>
      <c r="DK78" s="6">
        <v>0</v>
      </c>
    </row>
    <row r="79" spans="1:115" x14ac:dyDescent="0.15">
      <c r="A79" s="4">
        <v>0</v>
      </c>
      <c r="B79" s="5">
        <v>0</v>
      </c>
      <c r="C79" s="5">
        <v>0</v>
      </c>
      <c r="D79" s="5">
        <v>0</v>
      </c>
      <c r="E79" s="5">
        <v>0</v>
      </c>
      <c r="F79" s="5">
        <v>0</v>
      </c>
      <c r="G79" s="5">
        <v>0</v>
      </c>
      <c r="H79" s="5">
        <v>0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 s="5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0</v>
      </c>
      <c r="Z79" s="5">
        <v>0</v>
      </c>
      <c r="AA79" s="5">
        <v>0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0</v>
      </c>
      <c r="BA79" s="5">
        <v>0</v>
      </c>
      <c r="BB79" s="5">
        <v>0</v>
      </c>
      <c r="BC79" s="5">
        <v>0</v>
      </c>
      <c r="BD79" s="5">
        <v>0</v>
      </c>
      <c r="BE79" s="5">
        <v>0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5">
        <v>0</v>
      </c>
      <c r="BM79" s="5">
        <v>0</v>
      </c>
      <c r="BN79" s="5">
        <v>0</v>
      </c>
      <c r="BO79" s="5">
        <v>0</v>
      </c>
      <c r="BP79" s="5">
        <v>0</v>
      </c>
      <c r="BQ79" s="5">
        <v>0</v>
      </c>
      <c r="BR79" s="5">
        <v>0</v>
      </c>
      <c r="BS79" s="5">
        <v>0</v>
      </c>
      <c r="BT79" s="5">
        <v>0</v>
      </c>
      <c r="BU79" s="5">
        <v>0</v>
      </c>
      <c r="BV79" s="5">
        <v>0</v>
      </c>
      <c r="BW79" s="5">
        <v>0</v>
      </c>
      <c r="BX79" s="5">
        <v>0</v>
      </c>
      <c r="BY79" s="5">
        <v>0</v>
      </c>
      <c r="BZ79" s="5">
        <v>0</v>
      </c>
      <c r="CA79" s="5">
        <v>0</v>
      </c>
      <c r="CB79" s="5">
        <v>0</v>
      </c>
      <c r="CC79" s="5">
        <v>0</v>
      </c>
      <c r="CD79" s="5">
        <v>0</v>
      </c>
      <c r="CE79" s="5">
        <v>0</v>
      </c>
      <c r="CF79" s="5">
        <v>0</v>
      </c>
      <c r="CG79" s="5">
        <v>0</v>
      </c>
      <c r="CH79" s="5">
        <v>0</v>
      </c>
      <c r="CI79" s="5">
        <v>0</v>
      </c>
      <c r="CJ79" s="5">
        <v>0</v>
      </c>
      <c r="CK79" s="5">
        <v>0</v>
      </c>
      <c r="CL79" s="5">
        <v>0</v>
      </c>
      <c r="CM79" s="5">
        <v>0</v>
      </c>
      <c r="CN79" s="5">
        <v>0</v>
      </c>
      <c r="CO79" s="5">
        <v>0</v>
      </c>
      <c r="CP79" s="5">
        <v>0</v>
      </c>
      <c r="CQ79" s="5">
        <v>0</v>
      </c>
      <c r="CR79" s="5">
        <v>0</v>
      </c>
      <c r="CS79" s="5">
        <v>0</v>
      </c>
      <c r="CT79" s="5">
        <v>0</v>
      </c>
      <c r="CU79" s="5">
        <v>0</v>
      </c>
      <c r="CV79" s="5">
        <v>0</v>
      </c>
      <c r="CW79" s="5">
        <v>0</v>
      </c>
      <c r="CX79" s="5">
        <v>0</v>
      </c>
      <c r="CY79" s="5">
        <v>0</v>
      </c>
      <c r="CZ79" s="5">
        <v>0</v>
      </c>
      <c r="DA79" s="5">
        <v>0</v>
      </c>
      <c r="DB79" s="5">
        <v>0</v>
      </c>
      <c r="DC79" s="5">
        <v>0</v>
      </c>
      <c r="DD79" s="5">
        <v>0</v>
      </c>
      <c r="DE79" s="5">
        <v>0</v>
      </c>
      <c r="DF79" s="5">
        <v>0</v>
      </c>
      <c r="DG79" s="5">
        <v>0</v>
      </c>
      <c r="DH79" s="5">
        <v>0</v>
      </c>
      <c r="DI79" s="5">
        <v>0</v>
      </c>
      <c r="DJ79" s="5">
        <v>0</v>
      </c>
      <c r="DK79" s="6">
        <v>0</v>
      </c>
    </row>
    <row r="80" spans="1:115" x14ac:dyDescent="0.15">
      <c r="A80" s="4">
        <v>0</v>
      </c>
      <c r="B80" s="5">
        <v>0</v>
      </c>
      <c r="C80" s="5">
        <v>0</v>
      </c>
      <c r="D80" s="5">
        <v>0</v>
      </c>
      <c r="E80" s="5">
        <v>0</v>
      </c>
      <c r="F80" s="5">
        <v>0</v>
      </c>
      <c r="G80" s="5">
        <v>0</v>
      </c>
      <c r="H80" s="5">
        <v>0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 s="5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0</v>
      </c>
      <c r="Z80" s="5">
        <v>0</v>
      </c>
      <c r="AA80" s="5">
        <v>0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0</v>
      </c>
      <c r="AO80" s="5">
        <v>0</v>
      </c>
      <c r="AP80" s="5">
        <v>0</v>
      </c>
      <c r="AQ80" s="5">
        <v>0</v>
      </c>
      <c r="AR80" s="5">
        <v>0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0</v>
      </c>
      <c r="BA80" s="5">
        <v>0</v>
      </c>
      <c r="BB80" s="5">
        <v>0</v>
      </c>
      <c r="BC80" s="5">
        <v>0</v>
      </c>
      <c r="BD80" s="5">
        <v>0</v>
      </c>
      <c r="BE80" s="5">
        <v>0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5">
        <v>0</v>
      </c>
      <c r="BM80" s="5">
        <v>0</v>
      </c>
      <c r="BN80" s="5">
        <v>0</v>
      </c>
      <c r="BO80" s="5">
        <v>0</v>
      </c>
      <c r="BP80" s="5">
        <v>0</v>
      </c>
      <c r="BQ80" s="5">
        <v>0</v>
      </c>
      <c r="BR80" s="5">
        <v>0</v>
      </c>
      <c r="BS80" s="5">
        <v>0</v>
      </c>
      <c r="BT80" s="5">
        <v>0</v>
      </c>
      <c r="BU80" s="5">
        <v>0</v>
      </c>
      <c r="BV80" s="5">
        <v>0</v>
      </c>
      <c r="BW80" s="5">
        <v>0</v>
      </c>
      <c r="BX80" s="5">
        <v>0</v>
      </c>
      <c r="BY80" s="5">
        <v>0</v>
      </c>
      <c r="BZ80" s="5">
        <v>0</v>
      </c>
      <c r="CA80" s="5">
        <v>0</v>
      </c>
      <c r="CB80" s="5">
        <v>0</v>
      </c>
      <c r="CC80" s="5">
        <v>0</v>
      </c>
      <c r="CD80" s="5">
        <v>0</v>
      </c>
      <c r="CE80" s="5">
        <v>0</v>
      </c>
      <c r="CF80" s="5">
        <v>0</v>
      </c>
      <c r="CG80" s="5">
        <v>0</v>
      </c>
      <c r="CH80" s="5">
        <v>0</v>
      </c>
      <c r="CI80" s="5">
        <v>0</v>
      </c>
      <c r="CJ80" s="5">
        <v>0</v>
      </c>
      <c r="CK80" s="5">
        <v>0</v>
      </c>
      <c r="CL80" s="5">
        <v>0</v>
      </c>
      <c r="CM80" s="5">
        <v>0</v>
      </c>
      <c r="CN80" s="5">
        <v>0</v>
      </c>
      <c r="CO80" s="5">
        <v>0</v>
      </c>
      <c r="CP80" s="5">
        <v>0</v>
      </c>
      <c r="CQ80" s="5">
        <v>0</v>
      </c>
      <c r="CR80" s="5">
        <v>0</v>
      </c>
      <c r="CS80" s="5">
        <v>0</v>
      </c>
      <c r="CT80" s="5">
        <v>0</v>
      </c>
      <c r="CU80" s="5">
        <v>0</v>
      </c>
      <c r="CV80" s="5">
        <v>0</v>
      </c>
      <c r="CW80" s="5">
        <v>0</v>
      </c>
      <c r="CX80" s="5">
        <v>0</v>
      </c>
      <c r="CY80" s="5">
        <v>0</v>
      </c>
      <c r="CZ80" s="5">
        <v>0</v>
      </c>
      <c r="DA80" s="5">
        <v>0</v>
      </c>
      <c r="DB80" s="5">
        <v>0</v>
      </c>
      <c r="DC80" s="5">
        <v>0</v>
      </c>
      <c r="DD80" s="5">
        <v>0</v>
      </c>
      <c r="DE80" s="5">
        <v>0</v>
      </c>
      <c r="DF80" s="5">
        <v>0</v>
      </c>
      <c r="DG80" s="5">
        <v>0</v>
      </c>
      <c r="DH80" s="5">
        <v>0</v>
      </c>
      <c r="DI80" s="5">
        <v>0</v>
      </c>
      <c r="DJ80" s="5">
        <v>0</v>
      </c>
      <c r="DK80" s="6">
        <v>0</v>
      </c>
    </row>
    <row r="81" spans="1:115" x14ac:dyDescent="0.15">
      <c r="A81" s="4">
        <v>0</v>
      </c>
      <c r="B81" s="5">
        <v>0</v>
      </c>
      <c r="C81" s="5">
        <v>0</v>
      </c>
      <c r="D81" s="5">
        <v>0</v>
      </c>
      <c r="E81" s="5">
        <v>0</v>
      </c>
      <c r="F81" s="5">
        <v>0</v>
      </c>
      <c r="G81" s="5">
        <v>0</v>
      </c>
      <c r="H81" s="5">
        <v>0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 s="5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0</v>
      </c>
      <c r="Z81" s="5">
        <v>0</v>
      </c>
      <c r="AA81" s="5">
        <v>0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  <c r="BA81" s="5">
        <v>0</v>
      </c>
      <c r="BB81" s="5">
        <v>0</v>
      </c>
      <c r="BC81" s="5">
        <v>0</v>
      </c>
      <c r="BD81" s="5">
        <v>0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5">
        <v>0</v>
      </c>
      <c r="BM81" s="5">
        <v>0</v>
      </c>
      <c r="BN81" s="5">
        <v>0</v>
      </c>
      <c r="BO81" s="5">
        <v>0</v>
      </c>
      <c r="BP81" s="5">
        <v>0</v>
      </c>
      <c r="BQ81" s="5">
        <v>0</v>
      </c>
      <c r="BR81" s="5">
        <v>0</v>
      </c>
      <c r="BS81" s="5">
        <v>0</v>
      </c>
      <c r="BT81" s="5">
        <v>0</v>
      </c>
      <c r="BU81" s="5">
        <v>0</v>
      </c>
      <c r="BV81" s="5">
        <v>0</v>
      </c>
      <c r="BW81" s="5">
        <v>0</v>
      </c>
      <c r="BX81" s="5">
        <v>0</v>
      </c>
      <c r="BY81" s="5">
        <v>0</v>
      </c>
      <c r="BZ81" s="5">
        <v>0</v>
      </c>
      <c r="CA81" s="5">
        <v>0</v>
      </c>
      <c r="CB81" s="5">
        <v>0</v>
      </c>
      <c r="CC81" s="5">
        <v>0</v>
      </c>
      <c r="CD81" s="5">
        <v>0</v>
      </c>
      <c r="CE81" s="5">
        <v>0</v>
      </c>
      <c r="CF81" s="5">
        <v>0</v>
      </c>
      <c r="CG81" s="5">
        <v>0</v>
      </c>
      <c r="CH81" s="5">
        <v>0</v>
      </c>
      <c r="CI81" s="5">
        <v>0</v>
      </c>
      <c r="CJ81" s="5">
        <v>0</v>
      </c>
      <c r="CK81" s="5">
        <v>0</v>
      </c>
      <c r="CL81" s="5">
        <v>0</v>
      </c>
      <c r="CM81" s="5">
        <v>0</v>
      </c>
      <c r="CN81" s="5">
        <v>0</v>
      </c>
      <c r="CO81" s="5">
        <v>0</v>
      </c>
      <c r="CP81" s="5">
        <v>0</v>
      </c>
      <c r="CQ81" s="5">
        <v>0</v>
      </c>
      <c r="CR81" s="5">
        <v>0</v>
      </c>
      <c r="CS81" s="5">
        <v>0</v>
      </c>
      <c r="CT81" s="5">
        <v>0</v>
      </c>
      <c r="CU81" s="5">
        <v>0</v>
      </c>
      <c r="CV81" s="5">
        <v>0</v>
      </c>
      <c r="CW81" s="5">
        <v>0</v>
      </c>
      <c r="CX81" s="5">
        <v>0</v>
      </c>
      <c r="CY81" s="5">
        <v>0</v>
      </c>
      <c r="CZ81" s="5">
        <v>0</v>
      </c>
      <c r="DA81" s="5">
        <v>0</v>
      </c>
      <c r="DB81" s="5">
        <v>0</v>
      </c>
      <c r="DC81" s="5">
        <v>0</v>
      </c>
      <c r="DD81" s="5">
        <v>0</v>
      </c>
      <c r="DE81" s="5">
        <v>0</v>
      </c>
      <c r="DF81" s="5">
        <v>0</v>
      </c>
      <c r="DG81" s="5">
        <v>0</v>
      </c>
      <c r="DH81" s="5">
        <v>0</v>
      </c>
      <c r="DI81" s="5">
        <v>0</v>
      </c>
      <c r="DJ81" s="5">
        <v>0</v>
      </c>
      <c r="DK81" s="6">
        <v>0</v>
      </c>
    </row>
    <row r="82" spans="1:115" x14ac:dyDescent="0.15">
      <c r="A82" s="4">
        <v>0</v>
      </c>
      <c r="B82" s="5">
        <v>0</v>
      </c>
      <c r="C82" s="5">
        <v>0</v>
      </c>
      <c r="D82" s="5">
        <v>0</v>
      </c>
      <c r="E82" s="5">
        <v>0</v>
      </c>
      <c r="F82" s="5">
        <v>0</v>
      </c>
      <c r="G82" s="5">
        <v>0</v>
      </c>
      <c r="H82" s="5">
        <v>0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 s="5">
        <v>0</v>
      </c>
      <c r="O82" s="5">
        <v>0</v>
      </c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0</v>
      </c>
      <c r="Z82" s="5">
        <v>0</v>
      </c>
      <c r="AA82" s="5">
        <v>0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0</v>
      </c>
      <c r="BA82" s="5">
        <v>0</v>
      </c>
      <c r="BB82" s="5">
        <v>0</v>
      </c>
      <c r="BC82" s="5">
        <v>0</v>
      </c>
      <c r="BD82" s="5">
        <v>0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5">
        <v>0</v>
      </c>
      <c r="BM82" s="5">
        <v>0</v>
      </c>
      <c r="BN82" s="5">
        <v>0</v>
      </c>
      <c r="BO82" s="5">
        <v>0</v>
      </c>
      <c r="BP82" s="5">
        <v>0</v>
      </c>
      <c r="BQ82" s="5">
        <v>0</v>
      </c>
      <c r="BR82" s="5">
        <v>0</v>
      </c>
      <c r="BS82" s="5">
        <v>0</v>
      </c>
      <c r="BT82" s="5">
        <v>0</v>
      </c>
      <c r="BU82" s="5">
        <v>0</v>
      </c>
      <c r="BV82" s="5">
        <v>0</v>
      </c>
      <c r="BW82" s="5">
        <v>0</v>
      </c>
      <c r="BX82" s="5">
        <v>0</v>
      </c>
      <c r="BY82" s="5">
        <v>0</v>
      </c>
      <c r="BZ82" s="5">
        <v>0</v>
      </c>
      <c r="CA82" s="5">
        <v>0</v>
      </c>
      <c r="CB82" s="5">
        <v>0</v>
      </c>
      <c r="CC82" s="5">
        <v>0</v>
      </c>
      <c r="CD82" s="5">
        <v>0</v>
      </c>
      <c r="CE82" s="5">
        <v>0</v>
      </c>
      <c r="CF82" s="5">
        <v>0</v>
      </c>
      <c r="CG82" s="5">
        <v>0</v>
      </c>
      <c r="CH82" s="5">
        <v>0</v>
      </c>
      <c r="CI82" s="5">
        <v>0</v>
      </c>
      <c r="CJ82" s="5">
        <v>0</v>
      </c>
      <c r="CK82" s="7">
        <v>0</v>
      </c>
      <c r="CL82" s="5">
        <v>0</v>
      </c>
      <c r="CM82" s="5">
        <v>0</v>
      </c>
      <c r="CN82" s="5">
        <v>0</v>
      </c>
      <c r="CO82" s="5">
        <v>0</v>
      </c>
      <c r="CP82" s="5">
        <v>0</v>
      </c>
      <c r="CQ82" s="5">
        <v>0</v>
      </c>
      <c r="CR82" s="5">
        <v>0</v>
      </c>
      <c r="CS82" s="5">
        <v>0</v>
      </c>
      <c r="CT82" s="5">
        <v>0</v>
      </c>
      <c r="CU82" s="5">
        <v>0</v>
      </c>
      <c r="CV82" s="5">
        <v>0</v>
      </c>
      <c r="CW82" s="5">
        <v>0</v>
      </c>
      <c r="CX82" s="5">
        <v>0</v>
      </c>
      <c r="CY82" s="5">
        <v>0</v>
      </c>
      <c r="CZ82" s="5">
        <v>0</v>
      </c>
      <c r="DA82" s="5">
        <v>0</v>
      </c>
      <c r="DB82" s="5">
        <v>0</v>
      </c>
      <c r="DC82" s="5">
        <v>0</v>
      </c>
      <c r="DD82" s="5">
        <v>0</v>
      </c>
      <c r="DE82" s="5">
        <v>0</v>
      </c>
      <c r="DF82" s="5">
        <v>0</v>
      </c>
      <c r="DG82" s="5">
        <v>0</v>
      </c>
      <c r="DH82" s="5">
        <v>0</v>
      </c>
      <c r="DI82" s="5">
        <v>0</v>
      </c>
      <c r="DJ82" s="5">
        <v>0</v>
      </c>
      <c r="DK82" s="6">
        <v>0</v>
      </c>
    </row>
    <row r="83" spans="1:115" x14ac:dyDescent="0.15">
      <c r="A83" s="4">
        <v>0</v>
      </c>
      <c r="B83" s="5">
        <v>0</v>
      </c>
      <c r="C83" s="5">
        <v>0</v>
      </c>
      <c r="D83" s="5">
        <v>0</v>
      </c>
      <c r="E83" s="5">
        <v>0</v>
      </c>
      <c r="F83" s="5">
        <v>0</v>
      </c>
      <c r="G83" s="5">
        <v>0</v>
      </c>
      <c r="H83" s="5">
        <v>0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 s="5">
        <v>0</v>
      </c>
      <c r="O83" s="5">
        <v>0</v>
      </c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0</v>
      </c>
      <c r="Z83" s="5">
        <v>0</v>
      </c>
      <c r="AA83" s="5">
        <v>0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0</v>
      </c>
      <c r="AO83" s="5">
        <v>0</v>
      </c>
      <c r="AP83" s="5">
        <v>0</v>
      </c>
      <c r="AQ83" s="5">
        <v>0</v>
      </c>
      <c r="AR83" s="5">
        <v>0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0</v>
      </c>
      <c r="BA83" s="5">
        <v>0</v>
      </c>
      <c r="BB83" s="5">
        <v>0</v>
      </c>
      <c r="BC83" s="5">
        <v>0</v>
      </c>
      <c r="BD83" s="5">
        <v>0</v>
      </c>
      <c r="BE83" s="5">
        <v>0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5">
        <v>0</v>
      </c>
      <c r="BM83" s="5">
        <v>0</v>
      </c>
      <c r="BN83" s="5">
        <v>0</v>
      </c>
      <c r="BO83" s="5">
        <v>0</v>
      </c>
      <c r="BP83" s="5">
        <v>0</v>
      </c>
      <c r="BQ83" s="5">
        <v>0</v>
      </c>
      <c r="BR83" s="5">
        <v>0</v>
      </c>
      <c r="BS83" s="5">
        <v>0</v>
      </c>
      <c r="BT83" s="5">
        <v>0</v>
      </c>
      <c r="BU83" s="5">
        <v>0</v>
      </c>
      <c r="BV83" s="5">
        <v>0</v>
      </c>
      <c r="BW83" s="5">
        <v>0</v>
      </c>
      <c r="BX83" s="5">
        <v>0</v>
      </c>
      <c r="BY83" s="5">
        <v>0</v>
      </c>
      <c r="BZ83" s="5">
        <v>0</v>
      </c>
      <c r="CA83" s="5">
        <v>0</v>
      </c>
      <c r="CB83" s="5">
        <v>0</v>
      </c>
      <c r="CC83" s="5">
        <v>0</v>
      </c>
      <c r="CD83" s="5">
        <v>0</v>
      </c>
      <c r="CE83" s="5">
        <v>0</v>
      </c>
      <c r="CF83" s="5">
        <v>0</v>
      </c>
      <c r="CG83" s="5">
        <v>0</v>
      </c>
      <c r="CH83" s="5">
        <v>0</v>
      </c>
      <c r="CI83" s="5">
        <v>0</v>
      </c>
      <c r="CJ83" s="5">
        <v>0</v>
      </c>
      <c r="CK83" s="7">
        <v>0</v>
      </c>
      <c r="CL83" s="5">
        <v>0</v>
      </c>
      <c r="CM83" s="5">
        <v>0</v>
      </c>
      <c r="CN83" s="5">
        <v>0</v>
      </c>
      <c r="CO83" s="5">
        <v>0</v>
      </c>
      <c r="CP83" s="5">
        <v>0</v>
      </c>
      <c r="CQ83" s="5">
        <v>0</v>
      </c>
      <c r="CR83" s="5">
        <v>0</v>
      </c>
      <c r="CS83" s="5">
        <v>0</v>
      </c>
      <c r="CT83" s="5">
        <v>0</v>
      </c>
      <c r="CU83" s="5">
        <v>0</v>
      </c>
      <c r="CV83" s="5">
        <v>0</v>
      </c>
      <c r="CW83" s="5">
        <v>0</v>
      </c>
      <c r="CX83" s="5">
        <v>0</v>
      </c>
      <c r="CY83" s="5">
        <v>0</v>
      </c>
      <c r="CZ83" s="5">
        <v>0</v>
      </c>
      <c r="DA83" s="5">
        <v>0</v>
      </c>
      <c r="DB83" s="5">
        <v>0</v>
      </c>
      <c r="DC83" s="5">
        <v>0</v>
      </c>
      <c r="DD83" s="5">
        <v>0</v>
      </c>
      <c r="DE83" s="5">
        <v>0</v>
      </c>
      <c r="DF83" s="5">
        <v>0</v>
      </c>
      <c r="DG83" s="5">
        <v>0</v>
      </c>
      <c r="DH83" s="5">
        <v>0</v>
      </c>
      <c r="DI83" s="5">
        <v>0</v>
      </c>
      <c r="DJ83" s="5">
        <v>0</v>
      </c>
      <c r="DK83" s="6">
        <v>0</v>
      </c>
    </row>
    <row r="84" spans="1:115" x14ac:dyDescent="0.15">
      <c r="A84" s="4">
        <v>0</v>
      </c>
      <c r="B84" s="5">
        <v>0</v>
      </c>
      <c r="C84" s="5">
        <v>0</v>
      </c>
      <c r="D84" s="5">
        <v>0</v>
      </c>
      <c r="E84" s="5">
        <v>0</v>
      </c>
      <c r="F84" s="5">
        <v>0</v>
      </c>
      <c r="G84" s="5">
        <v>0</v>
      </c>
      <c r="H84" s="5">
        <v>0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 s="5">
        <v>0</v>
      </c>
      <c r="O84" s="5">
        <v>0</v>
      </c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0</v>
      </c>
      <c r="Z84" s="5">
        <v>0</v>
      </c>
      <c r="AA84" s="5">
        <v>0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0</v>
      </c>
      <c r="AO84" s="5">
        <v>0</v>
      </c>
      <c r="AP84" s="5">
        <v>0</v>
      </c>
      <c r="AQ84" s="5">
        <v>0</v>
      </c>
      <c r="AR84" s="5">
        <v>0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0</v>
      </c>
      <c r="BA84" s="5">
        <v>0</v>
      </c>
      <c r="BB84" s="5">
        <v>0</v>
      </c>
      <c r="BC84" s="5">
        <v>0</v>
      </c>
      <c r="BD84" s="5">
        <v>0</v>
      </c>
      <c r="BE84" s="5">
        <v>0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5">
        <v>0</v>
      </c>
      <c r="BM84" s="5">
        <v>0</v>
      </c>
      <c r="BN84" s="5">
        <v>0</v>
      </c>
      <c r="BO84" s="5">
        <v>0</v>
      </c>
      <c r="BP84" s="5">
        <v>0</v>
      </c>
      <c r="BQ84" s="5">
        <v>0</v>
      </c>
      <c r="BR84" s="5">
        <v>0</v>
      </c>
      <c r="BS84" s="5">
        <v>0</v>
      </c>
      <c r="BT84" s="5">
        <v>0</v>
      </c>
      <c r="BU84" s="5">
        <v>0</v>
      </c>
      <c r="BV84" s="5">
        <v>0</v>
      </c>
      <c r="BW84" s="5">
        <v>0</v>
      </c>
      <c r="BX84" s="5">
        <v>0</v>
      </c>
      <c r="BY84" s="5">
        <v>0</v>
      </c>
      <c r="BZ84" s="5">
        <v>0</v>
      </c>
      <c r="CA84" s="5">
        <v>0</v>
      </c>
      <c r="CB84" s="5">
        <v>0</v>
      </c>
      <c r="CC84" s="5">
        <v>0</v>
      </c>
      <c r="CD84" s="5">
        <v>0</v>
      </c>
      <c r="CE84" s="5">
        <v>0</v>
      </c>
      <c r="CF84" s="5">
        <v>0</v>
      </c>
      <c r="CG84" s="5">
        <v>0</v>
      </c>
      <c r="CH84" s="5">
        <v>0</v>
      </c>
      <c r="CI84" s="5">
        <v>0</v>
      </c>
      <c r="CJ84" s="5">
        <v>0</v>
      </c>
      <c r="CK84" s="5">
        <v>0</v>
      </c>
      <c r="CL84" s="5">
        <v>0</v>
      </c>
      <c r="CM84" s="5">
        <v>0</v>
      </c>
      <c r="CN84" s="5">
        <v>0</v>
      </c>
      <c r="CO84" s="5">
        <v>0</v>
      </c>
      <c r="CP84" s="5">
        <v>0</v>
      </c>
      <c r="CQ84" s="5">
        <v>0</v>
      </c>
      <c r="CR84" s="5">
        <v>0</v>
      </c>
      <c r="CS84" s="5">
        <v>0</v>
      </c>
      <c r="CT84" s="5">
        <v>0</v>
      </c>
      <c r="CU84" s="5">
        <v>0</v>
      </c>
      <c r="CV84" s="5">
        <v>0</v>
      </c>
      <c r="CW84" s="5">
        <v>0</v>
      </c>
      <c r="CX84" s="5">
        <v>0</v>
      </c>
      <c r="CY84" s="5">
        <v>0</v>
      </c>
      <c r="CZ84" s="5">
        <v>0</v>
      </c>
      <c r="DA84" s="5">
        <v>0</v>
      </c>
      <c r="DB84" s="5">
        <v>0</v>
      </c>
      <c r="DC84" s="5">
        <v>0</v>
      </c>
      <c r="DD84" s="5">
        <v>0</v>
      </c>
      <c r="DE84" s="5">
        <v>0</v>
      </c>
      <c r="DF84" s="5">
        <v>0</v>
      </c>
      <c r="DG84" s="5">
        <v>0</v>
      </c>
      <c r="DH84" s="5">
        <v>0</v>
      </c>
      <c r="DI84" s="5">
        <v>0</v>
      </c>
      <c r="DJ84" s="5">
        <v>0</v>
      </c>
      <c r="DK84" s="6">
        <v>0</v>
      </c>
    </row>
    <row r="85" spans="1:115" x14ac:dyDescent="0.15">
      <c r="A85" s="4">
        <v>0</v>
      </c>
      <c r="B85" s="5">
        <v>0</v>
      </c>
      <c r="C85" s="5">
        <v>0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 s="5">
        <v>0</v>
      </c>
      <c r="O85" s="5">
        <v>0</v>
      </c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0</v>
      </c>
      <c r="Z85" s="5">
        <v>0</v>
      </c>
      <c r="AA85" s="5">
        <v>0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5">
        <v>0</v>
      </c>
      <c r="AK85" s="5">
        <v>0</v>
      </c>
      <c r="AL85" s="5">
        <v>0</v>
      </c>
      <c r="AM85" s="5">
        <v>0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0</v>
      </c>
      <c r="BA85" s="5">
        <v>0</v>
      </c>
      <c r="BB85" s="5">
        <v>0</v>
      </c>
      <c r="BC85" s="5">
        <v>0</v>
      </c>
      <c r="BD85" s="5">
        <v>0</v>
      </c>
      <c r="BE85" s="5">
        <v>0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5">
        <v>0</v>
      </c>
      <c r="BM85" s="5">
        <v>0</v>
      </c>
      <c r="BN85" s="5">
        <v>0</v>
      </c>
      <c r="BO85" s="5">
        <v>0</v>
      </c>
      <c r="BP85" s="5">
        <v>0</v>
      </c>
      <c r="BQ85" s="5">
        <v>0</v>
      </c>
      <c r="BR85" s="5">
        <v>0</v>
      </c>
      <c r="BS85" s="5">
        <v>0</v>
      </c>
      <c r="BT85" s="5">
        <v>0</v>
      </c>
      <c r="BU85" s="5">
        <v>0</v>
      </c>
      <c r="BV85" s="5">
        <v>0</v>
      </c>
      <c r="BW85" s="5">
        <v>0</v>
      </c>
      <c r="BX85" s="5">
        <v>0</v>
      </c>
      <c r="BY85" s="5">
        <v>0</v>
      </c>
      <c r="BZ85" s="5">
        <v>0</v>
      </c>
      <c r="CA85" s="5">
        <v>0</v>
      </c>
      <c r="CB85" s="5">
        <v>0</v>
      </c>
      <c r="CC85" s="5">
        <v>0</v>
      </c>
      <c r="CD85" s="5">
        <v>0</v>
      </c>
      <c r="CE85" s="5">
        <v>0</v>
      </c>
      <c r="CF85" s="5">
        <v>0</v>
      </c>
      <c r="CG85" s="5">
        <v>0</v>
      </c>
      <c r="CH85" s="5">
        <v>0</v>
      </c>
      <c r="CI85" s="5">
        <v>0</v>
      </c>
      <c r="CJ85" s="5">
        <v>0</v>
      </c>
      <c r="CK85" s="5">
        <v>0</v>
      </c>
      <c r="CL85" s="5">
        <v>0</v>
      </c>
      <c r="CM85" s="5">
        <v>0</v>
      </c>
      <c r="CN85" s="5">
        <v>0</v>
      </c>
      <c r="CO85" s="5">
        <v>0</v>
      </c>
      <c r="CP85" s="5">
        <v>0</v>
      </c>
      <c r="CQ85" s="5">
        <v>0</v>
      </c>
      <c r="CR85" s="5">
        <v>0</v>
      </c>
      <c r="CS85" s="5">
        <v>0</v>
      </c>
      <c r="CT85" s="5">
        <v>0</v>
      </c>
      <c r="CU85" s="5">
        <v>0</v>
      </c>
      <c r="CV85" s="5">
        <v>0</v>
      </c>
      <c r="CW85" s="5">
        <v>0</v>
      </c>
      <c r="CX85" s="5">
        <v>0</v>
      </c>
      <c r="CY85" s="5">
        <v>0</v>
      </c>
      <c r="CZ85" s="5">
        <v>0</v>
      </c>
      <c r="DA85" s="5">
        <v>0</v>
      </c>
      <c r="DB85" s="5">
        <v>0</v>
      </c>
      <c r="DC85" s="5">
        <v>0</v>
      </c>
      <c r="DD85" s="5">
        <v>0</v>
      </c>
      <c r="DE85" s="5">
        <v>0</v>
      </c>
      <c r="DF85" s="5">
        <v>0</v>
      </c>
      <c r="DG85" s="5">
        <v>0</v>
      </c>
      <c r="DH85" s="5">
        <v>0</v>
      </c>
      <c r="DI85" s="5">
        <v>0</v>
      </c>
      <c r="DJ85" s="5">
        <v>0</v>
      </c>
      <c r="DK85" s="6">
        <v>0</v>
      </c>
    </row>
    <row r="86" spans="1:115" x14ac:dyDescent="0.15">
      <c r="A86" s="4">
        <v>0</v>
      </c>
      <c r="B86" s="5">
        <v>0</v>
      </c>
      <c r="C86" s="5">
        <v>0</v>
      </c>
      <c r="D86" s="5">
        <v>0</v>
      </c>
      <c r="E86" s="5">
        <v>0</v>
      </c>
      <c r="F86" s="5">
        <v>0</v>
      </c>
      <c r="G86" s="5">
        <v>0</v>
      </c>
      <c r="H86" s="5">
        <v>0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 s="5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0</v>
      </c>
      <c r="Z86" s="5">
        <v>0</v>
      </c>
      <c r="AA86" s="5">
        <v>0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5">
        <v>0</v>
      </c>
      <c r="AK86" s="5">
        <v>0</v>
      </c>
      <c r="AL86" s="5">
        <v>0</v>
      </c>
      <c r="AM86" s="5">
        <v>0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0</v>
      </c>
      <c r="BA86" s="5">
        <v>0</v>
      </c>
      <c r="BB86" s="5">
        <v>0</v>
      </c>
      <c r="BC86" s="5">
        <v>0</v>
      </c>
      <c r="BD86" s="5">
        <v>0</v>
      </c>
      <c r="BE86" s="5">
        <v>0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5">
        <v>0</v>
      </c>
      <c r="BM86" s="5">
        <v>0</v>
      </c>
      <c r="BN86" s="5">
        <v>0</v>
      </c>
      <c r="BO86" s="5">
        <v>0</v>
      </c>
      <c r="BP86" s="5">
        <v>0</v>
      </c>
      <c r="BQ86" s="5">
        <v>0</v>
      </c>
      <c r="BR86" s="5">
        <v>0</v>
      </c>
      <c r="BS86" s="5">
        <v>0</v>
      </c>
      <c r="BT86" s="5">
        <v>0</v>
      </c>
      <c r="BU86" s="5">
        <v>0</v>
      </c>
      <c r="BV86" s="5">
        <v>0</v>
      </c>
      <c r="BW86" s="5">
        <v>0</v>
      </c>
      <c r="BX86" s="5">
        <v>0</v>
      </c>
      <c r="BY86" s="5">
        <v>0</v>
      </c>
      <c r="BZ86" s="5">
        <v>0</v>
      </c>
      <c r="CA86" s="5">
        <v>0</v>
      </c>
      <c r="CB86" s="5">
        <v>0</v>
      </c>
      <c r="CC86" s="5">
        <v>0</v>
      </c>
      <c r="CD86" s="5">
        <v>0</v>
      </c>
      <c r="CE86" s="5">
        <v>0</v>
      </c>
      <c r="CF86" s="5">
        <v>0</v>
      </c>
      <c r="CG86" s="5">
        <v>0</v>
      </c>
      <c r="CH86" s="5">
        <v>0</v>
      </c>
      <c r="CI86" s="5">
        <v>0</v>
      </c>
      <c r="CJ86" s="5">
        <v>0</v>
      </c>
      <c r="CK86" s="5">
        <v>0</v>
      </c>
      <c r="CL86" s="5">
        <v>0</v>
      </c>
      <c r="CM86" s="5">
        <v>0</v>
      </c>
      <c r="CN86" s="5">
        <v>0</v>
      </c>
      <c r="CO86" s="5">
        <v>0</v>
      </c>
      <c r="CP86" s="5">
        <v>0</v>
      </c>
      <c r="CQ86" s="5">
        <v>0</v>
      </c>
      <c r="CR86" s="5">
        <v>0</v>
      </c>
      <c r="CS86" s="5">
        <v>0</v>
      </c>
      <c r="CT86" s="5">
        <v>0</v>
      </c>
      <c r="CU86" s="5">
        <v>0</v>
      </c>
      <c r="CV86" s="5">
        <v>0</v>
      </c>
      <c r="CW86" s="5">
        <v>0</v>
      </c>
      <c r="CX86" s="5">
        <v>0</v>
      </c>
      <c r="CY86" s="5">
        <v>0</v>
      </c>
      <c r="CZ86" s="5">
        <v>0</v>
      </c>
      <c r="DA86" s="5">
        <v>0</v>
      </c>
      <c r="DB86" s="5">
        <v>0</v>
      </c>
      <c r="DC86" s="5">
        <v>0</v>
      </c>
      <c r="DD86" s="5">
        <v>0</v>
      </c>
      <c r="DE86" s="5">
        <v>0</v>
      </c>
      <c r="DF86" s="5">
        <v>0</v>
      </c>
      <c r="DG86" s="5">
        <v>0</v>
      </c>
      <c r="DH86" s="5">
        <v>0</v>
      </c>
      <c r="DI86" s="5">
        <v>0</v>
      </c>
      <c r="DJ86" s="5">
        <v>0</v>
      </c>
      <c r="DK86" s="6">
        <v>0</v>
      </c>
    </row>
    <row r="87" spans="1:115" x14ac:dyDescent="0.15">
      <c r="A87" s="4">
        <v>0</v>
      </c>
      <c r="B87" s="5">
        <v>0</v>
      </c>
      <c r="C87" s="5">
        <v>0</v>
      </c>
      <c r="D87" s="5">
        <v>0</v>
      </c>
      <c r="E87" s="5">
        <v>0</v>
      </c>
      <c r="F87" s="5">
        <v>0</v>
      </c>
      <c r="G87" s="5">
        <v>0</v>
      </c>
      <c r="H87" s="5">
        <v>0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 s="5">
        <v>0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0</v>
      </c>
      <c r="Z87" s="5">
        <v>0</v>
      </c>
      <c r="AA87" s="5">
        <v>0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0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5">
        <v>0</v>
      </c>
      <c r="BM87" s="5">
        <v>0</v>
      </c>
      <c r="BN87" s="5">
        <v>0</v>
      </c>
      <c r="BO87" s="5">
        <v>0</v>
      </c>
      <c r="BP87" s="5">
        <v>0</v>
      </c>
      <c r="BQ87" s="5">
        <v>0</v>
      </c>
      <c r="BR87" s="5">
        <v>0</v>
      </c>
      <c r="BS87" s="5">
        <v>0</v>
      </c>
      <c r="BT87" s="5">
        <v>0</v>
      </c>
      <c r="BU87" s="5">
        <v>0</v>
      </c>
      <c r="BV87" s="5">
        <v>0</v>
      </c>
      <c r="BW87" s="5">
        <v>0</v>
      </c>
      <c r="BX87" s="5">
        <v>0</v>
      </c>
      <c r="BY87" s="5">
        <v>0</v>
      </c>
      <c r="BZ87" s="5">
        <v>0</v>
      </c>
      <c r="CA87" s="5">
        <v>0</v>
      </c>
      <c r="CB87" s="5">
        <v>0</v>
      </c>
      <c r="CC87" s="5">
        <v>0</v>
      </c>
      <c r="CD87" s="5">
        <v>0</v>
      </c>
      <c r="CE87" s="5">
        <v>0</v>
      </c>
      <c r="CF87" s="5">
        <v>0</v>
      </c>
      <c r="CG87" s="5">
        <v>0</v>
      </c>
      <c r="CH87" s="5">
        <v>0</v>
      </c>
      <c r="CI87" s="5">
        <v>0</v>
      </c>
      <c r="CJ87" s="5">
        <v>0</v>
      </c>
      <c r="CK87" s="5">
        <v>0</v>
      </c>
      <c r="CL87" s="5">
        <v>0</v>
      </c>
      <c r="CM87" s="5">
        <v>0</v>
      </c>
      <c r="CN87" s="5">
        <v>0</v>
      </c>
      <c r="CO87" s="5">
        <v>0</v>
      </c>
      <c r="CP87" s="5">
        <v>0</v>
      </c>
      <c r="CQ87" s="5">
        <v>0</v>
      </c>
      <c r="CR87" s="5">
        <v>0</v>
      </c>
      <c r="CS87" s="5">
        <v>0</v>
      </c>
      <c r="CT87" s="5">
        <v>0</v>
      </c>
      <c r="CU87" s="5">
        <v>0</v>
      </c>
      <c r="CV87" s="5">
        <v>0</v>
      </c>
      <c r="CW87" s="5">
        <v>0</v>
      </c>
      <c r="CX87" s="5">
        <v>0</v>
      </c>
      <c r="CY87" s="5">
        <v>0</v>
      </c>
      <c r="CZ87" s="5">
        <v>0</v>
      </c>
      <c r="DA87" s="5">
        <v>0</v>
      </c>
      <c r="DB87" s="5">
        <v>0</v>
      </c>
      <c r="DC87" s="5">
        <v>0</v>
      </c>
      <c r="DD87" s="5">
        <v>0</v>
      </c>
      <c r="DE87" s="5">
        <v>0</v>
      </c>
      <c r="DF87" s="5">
        <v>0</v>
      </c>
      <c r="DG87" s="5">
        <v>0</v>
      </c>
      <c r="DH87" s="5">
        <v>0</v>
      </c>
      <c r="DI87" s="5">
        <v>0</v>
      </c>
      <c r="DJ87" s="5">
        <v>0</v>
      </c>
      <c r="DK87" s="6">
        <v>0</v>
      </c>
    </row>
    <row r="88" spans="1:115" x14ac:dyDescent="0.15">
      <c r="A88" s="4">
        <v>0</v>
      </c>
      <c r="B88" s="5">
        <v>0</v>
      </c>
      <c r="C88" s="5">
        <v>0</v>
      </c>
      <c r="D88" s="5">
        <v>0</v>
      </c>
      <c r="E88" s="5">
        <v>0</v>
      </c>
      <c r="F88" s="5">
        <v>0</v>
      </c>
      <c r="G88" s="5">
        <v>0</v>
      </c>
      <c r="H88" s="5">
        <v>0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 s="5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0</v>
      </c>
      <c r="Z88" s="5">
        <v>0</v>
      </c>
      <c r="AA88" s="5">
        <v>0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0</v>
      </c>
      <c r="BA88" s="5">
        <v>0</v>
      </c>
      <c r="BB88" s="5">
        <v>0</v>
      </c>
      <c r="BC88" s="5">
        <v>0</v>
      </c>
      <c r="BD88" s="5">
        <v>0</v>
      </c>
      <c r="BE88" s="5">
        <v>0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5">
        <v>0</v>
      </c>
      <c r="BM88" s="5">
        <v>0</v>
      </c>
      <c r="BN88" s="5">
        <v>0</v>
      </c>
      <c r="BO88" s="5">
        <v>0</v>
      </c>
      <c r="BP88" s="5">
        <v>0</v>
      </c>
      <c r="BQ88" s="5">
        <v>0</v>
      </c>
      <c r="BR88" s="5">
        <v>0</v>
      </c>
      <c r="BS88" s="5">
        <v>0</v>
      </c>
      <c r="BT88" s="5">
        <v>0</v>
      </c>
      <c r="BU88" s="5">
        <v>0</v>
      </c>
      <c r="BV88" s="5">
        <v>0</v>
      </c>
      <c r="BW88" s="5">
        <v>0</v>
      </c>
      <c r="BX88" s="5">
        <v>0</v>
      </c>
      <c r="BY88" s="5">
        <v>0</v>
      </c>
      <c r="BZ88" s="5">
        <v>0</v>
      </c>
      <c r="CA88" s="5">
        <v>0</v>
      </c>
      <c r="CB88" s="5">
        <v>0</v>
      </c>
      <c r="CC88" s="5">
        <v>0</v>
      </c>
      <c r="CD88" s="5">
        <v>0</v>
      </c>
      <c r="CE88" s="5">
        <v>0</v>
      </c>
      <c r="CF88" s="5">
        <v>0</v>
      </c>
      <c r="CG88" s="5">
        <v>0</v>
      </c>
      <c r="CH88" s="5">
        <v>0</v>
      </c>
      <c r="CI88" s="5">
        <v>0</v>
      </c>
      <c r="CJ88" s="5">
        <v>0</v>
      </c>
      <c r="CK88" s="5">
        <v>0</v>
      </c>
      <c r="CL88" s="5">
        <v>0</v>
      </c>
      <c r="CM88" s="5">
        <v>0</v>
      </c>
      <c r="CN88" s="5">
        <v>0</v>
      </c>
      <c r="CO88" s="5">
        <v>0</v>
      </c>
      <c r="CP88" s="5">
        <v>0</v>
      </c>
      <c r="CQ88" s="5">
        <v>0</v>
      </c>
      <c r="CR88" s="5">
        <v>0</v>
      </c>
      <c r="CS88" s="5">
        <v>0</v>
      </c>
      <c r="CT88" s="5">
        <v>0</v>
      </c>
      <c r="CU88" s="5">
        <v>0</v>
      </c>
      <c r="CV88" s="5">
        <v>0</v>
      </c>
      <c r="CW88" s="5">
        <v>0</v>
      </c>
      <c r="CX88" s="5">
        <v>0</v>
      </c>
      <c r="CY88" s="5">
        <v>0</v>
      </c>
      <c r="CZ88" s="5">
        <v>0</v>
      </c>
      <c r="DA88" s="5">
        <v>0</v>
      </c>
      <c r="DB88" s="5">
        <v>0</v>
      </c>
      <c r="DC88" s="5">
        <v>0</v>
      </c>
      <c r="DD88" s="5">
        <v>0</v>
      </c>
      <c r="DE88" s="5">
        <v>0</v>
      </c>
      <c r="DF88" s="5">
        <v>0</v>
      </c>
      <c r="DG88" s="5">
        <v>0</v>
      </c>
      <c r="DH88" s="5">
        <v>0</v>
      </c>
      <c r="DI88" s="5">
        <v>0</v>
      </c>
      <c r="DJ88" s="5">
        <v>0</v>
      </c>
      <c r="DK88" s="6">
        <v>0</v>
      </c>
    </row>
    <row r="89" spans="1:115" x14ac:dyDescent="0.15">
      <c r="A89" s="4">
        <v>0</v>
      </c>
      <c r="B89" s="5">
        <v>0</v>
      </c>
      <c r="C89" s="5">
        <v>0</v>
      </c>
      <c r="D89" s="5">
        <v>0</v>
      </c>
      <c r="E89" s="5">
        <v>0</v>
      </c>
      <c r="F89" s="5">
        <v>0</v>
      </c>
      <c r="G89" s="5">
        <v>0</v>
      </c>
      <c r="H89" s="5">
        <v>0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 s="5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0</v>
      </c>
      <c r="Z89" s="5">
        <v>0</v>
      </c>
      <c r="AA89" s="5">
        <v>0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0</v>
      </c>
      <c r="BA89" s="5">
        <v>0</v>
      </c>
      <c r="BB89" s="5">
        <v>0</v>
      </c>
      <c r="BC89" s="5">
        <v>0</v>
      </c>
      <c r="BD89" s="5">
        <v>0</v>
      </c>
      <c r="BE89" s="5">
        <v>0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5">
        <v>0</v>
      </c>
      <c r="BM89" s="5">
        <v>0</v>
      </c>
      <c r="BN89" s="5">
        <v>0</v>
      </c>
      <c r="BO89" s="5">
        <v>0</v>
      </c>
      <c r="BP89" s="5">
        <v>0</v>
      </c>
      <c r="BQ89" s="5">
        <v>0</v>
      </c>
      <c r="BR89" s="5">
        <v>0</v>
      </c>
      <c r="BS89" s="5">
        <v>0</v>
      </c>
      <c r="BT89" s="5">
        <v>0</v>
      </c>
      <c r="BU89" s="5">
        <v>0</v>
      </c>
      <c r="BV89" s="5">
        <v>0</v>
      </c>
      <c r="BW89" s="5">
        <v>0</v>
      </c>
      <c r="BX89" s="5">
        <v>0</v>
      </c>
      <c r="BY89" s="5">
        <v>0</v>
      </c>
      <c r="BZ89" s="5">
        <v>0</v>
      </c>
      <c r="CA89" s="5">
        <v>0</v>
      </c>
      <c r="CB89" s="5">
        <v>0</v>
      </c>
      <c r="CC89" s="5">
        <v>0</v>
      </c>
      <c r="CD89" s="5">
        <v>0</v>
      </c>
      <c r="CE89" s="5">
        <v>0</v>
      </c>
      <c r="CF89" s="5">
        <v>0</v>
      </c>
      <c r="CG89" s="5">
        <v>0</v>
      </c>
      <c r="CH89" s="5">
        <v>0</v>
      </c>
      <c r="CI89" s="5">
        <v>0</v>
      </c>
      <c r="CJ89" s="5">
        <v>0</v>
      </c>
      <c r="CK89" s="5">
        <v>0</v>
      </c>
      <c r="CL89" s="5">
        <v>0</v>
      </c>
      <c r="CM89" s="5">
        <v>0</v>
      </c>
      <c r="CN89" s="5">
        <v>0</v>
      </c>
      <c r="CO89" s="5">
        <v>0</v>
      </c>
      <c r="CP89" s="5">
        <v>0</v>
      </c>
      <c r="CQ89" s="5">
        <v>0</v>
      </c>
      <c r="CR89" s="5">
        <v>0</v>
      </c>
      <c r="CS89" s="5">
        <v>0</v>
      </c>
      <c r="CT89" s="5">
        <v>0</v>
      </c>
      <c r="CU89" s="5">
        <v>0</v>
      </c>
      <c r="CV89" s="5">
        <v>0</v>
      </c>
      <c r="CW89" s="5">
        <v>0</v>
      </c>
      <c r="CX89" s="5">
        <v>0</v>
      </c>
      <c r="CY89" s="5">
        <v>0</v>
      </c>
      <c r="CZ89" s="5">
        <v>0</v>
      </c>
      <c r="DA89" s="5">
        <v>0</v>
      </c>
      <c r="DB89" s="5">
        <v>0</v>
      </c>
      <c r="DC89" s="5">
        <v>0</v>
      </c>
      <c r="DD89" s="5">
        <v>0</v>
      </c>
      <c r="DE89" s="5">
        <v>0</v>
      </c>
      <c r="DF89" s="5">
        <v>0</v>
      </c>
      <c r="DG89" s="5">
        <v>0</v>
      </c>
      <c r="DH89" s="5">
        <v>0</v>
      </c>
      <c r="DI89" s="5">
        <v>0</v>
      </c>
      <c r="DJ89" s="5">
        <v>0</v>
      </c>
      <c r="DK89" s="6">
        <v>0</v>
      </c>
    </row>
    <row r="90" spans="1:115" x14ac:dyDescent="0.15">
      <c r="A90" s="4">
        <v>0</v>
      </c>
      <c r="B90" s="5">
        <v>0</v>
      </c>
      <c r="C90" s="5">
        <v>0</v>
      </c>
      <c r="D90" s="5">
        <v>0</v>
      </c>
      <c r="E90" s="5">
        <v>0</v>
      </c>
      <c r="F90" s="5">
        <v>0</v>
      </c>
      <c r="G90" s="5">
        <v>0</v>
      </c>
      <c r="H90" s="5">
        <v>0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 s="5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0</v>
      </c>
      <c r="Z90" s="5">
        <v>0</v>
      </c>
      <c r="AA90" s="5">
        <v>0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0</v>
      </c>
      <c r="BA90" s="5">
        <v>0</v>
      </c>
      <c r="BB90" s="5">
        <v>0</v>
      </c>
      <c r="BC90" s="5">
        <v>0</v>
      </c>
      <c r="BD90" s="5">
        <v>0</v>
      </c>
      <c r="BE90" s="5">
        <v>0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5">
        <v>0</v>
      </c>
      <c r="BM90" s="5">
        <v>0</v>
      </c>
      <c r="BN90" s="5">
        <v>0</v>
      </c>
      <c r="BO90" s="5">
        <v>0</v>
      </c>
      <c r="BP90" s="5">
        <v>0</v>
      </c>
      <c r="BQ90" s="5">
        <v>0</v>
      </c>
      <c r="BR90" s="5">
        <v>0</v>
      </c>
      <c r="BS90" s="5">
        <v>0</v>
      </c>
      <c r="BT90" s="5">
        <v>0</v>
      </c>
      <c r="BU90" s="5">
        <v>0</v>
      </c>
      <c r="BV90" s="5">
        <v>0</v>
      </c>
      <c r="BW90" s="5">
        <v>0</v>
      </c>
      <c r="BX90" s="5">
        <v>0</v>
      </c>
      <c r="BY90" s="5">
        <v>0</v>
      </c>
      <c r="BZ90" s="5">
        <v>0</v>
      </c>
      <c r="CA90" s="5">
        <v>0</v>
      </c>
      <c r="CB90" s="5">
        <v>0</v>
      </c>
      <c r="CC90" s="7">
        <v>0</v>
      </c>
      <c r="CD90" s="5">
        <v>0</v>
      </c>
      <c r="CE90" s="5">
        <v>0</v>
      </c>
      <c r="CF90" s="5">
        <v>0</v>
      </c>
      <c r="CG90" s="5">
        <v>0</v>
      </c>
      <c r="CH90" s="5">
        <v>0</v>
      </c>
      <c r="CI90" s="5">
        <v>0</v>
      </c>
      <c r="CJ90" s="5">
        <v>0</v>
      </c>
      <c r="CK90" s="5">
        <v>0</v>
      </c>
      <c r="CL90" s="5">
        <v>0</v>
      </c>
      <c r="CM90" s="5">
        <v>0</v>
      </c>
      <c r="CN90" s="5">
        <v>0</v>
      </c>
      <c r="CO90" s="5">
        <v>0</v>
      </c>
      <c r="CP90" s="5">
        <v>0</v>
      </c>
      <c r="CQ90" s="5">
        <v>0</v>
      </c>
      <c r="CR90" s="5">
        <v>0</v>
      </c>
      <c r="CS90" s="5">
        <v>0</v>
      </c>
      <c r="CT90" s="5">
        <v>0</v>
      </c>
      <c r="CU90" s="5">
        <v>0</v>
      </c>
      <c r="CV90" s="5">
        <v>0</v>
      </c>
      <c r="CW90" s="5">
        <v>0</v>
      </c>
      <c r="CX90" s="5">
        <v>0</v>
      </c>
      <c r="CY90" s="5">
        <v>0</v>
      </c>
      <c r="CZ90" s="5">
        <v>0</v>
      </c>
      <c r="DA90" s="5">
        <v>0</v>
      </c>
      <c r="DB90" s="5">
        <v>0</v>
      </c>
      <c r="DC90" s="5">
        <v>0</v>
      </c>
      <c r="DD90" s="5">
        <v>0</v>
      </c>
      <c r="DE90" s="5">
        <v>0</v>
      </c>
      <c r="DF90" s="5">
        <v>0</v>
      </c>
      <c r="DG90" s="5">
        <v>0</v>
      </c>
      <c r="DH90" s="5">
        <v>0</v>
      </c>
      <c r="DI90" s="5">
        <v>0</v>
      </c>
      <c r="DJ90" s="5">
        <v>0</v>
      </c>
      <c r="DK90" s="6">
        <v>0</v>
      </c>
    </row>
    <row r="91" spans="1:115" x14ac:dyDescent="0.15">
      <c r="A91" s="4">
        <v>0</v>
      </c>
      <c r="B91" s="5">
        <v>0</v>
      </c>
      <c r="C91" s="5">
        <v>0</v>
      </c>
      <c r="D91" s="5">
        <v>0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Z91" s="5">
        <v>0</v>
      </c>
      <c r="AA91" s="5">
        <v>0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0</v>
      </c>
      <c r="BA91" s="5">
        <v>0</v>
      </c>
      <c r="BB91" s="5">
        <v>0</v>
      </c>
      <c r="BC91" s="5">
        <v>0</v>
      </c>
      <c r="BD91" s="5">
        <v>0</v>
      </c>
      <c r="BE91" s="5">
        <v>0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5">
        <v>0</v>
      </c>
      <c r="BM91" s="5">
        <v>0</v>
      </c>
      <c r="BN91" s="5">
        <v>0</v>
      </c>
      <c r="BO91" s="5">
        <v>0</v>
      </c>
      <c r="BP91" s="5">
        <v>0</v>
      </c>
      <c r="BQ91" s="5">
        <v>0</v>
      </c>
      <c r="BR91" s="5">
        <v>0</v>
      </c>
      <c r="BS91" s="5">
        <v>0</v>
      </c>
      <c r="BT91" s="5">
        <v>0</v>
      </c>
      <c r="BU91" s="5">
        <v>0</v>
      </c>
      <c r="BV91" s="5">
        <v>0</v>
      </c>
      <c r="BW91" s="5">
        <v>0</v>
      </c>
      <c r="BX91" s="5">
        <v>0</v>
      </c>
      <c r="BY91" s="5">
        <v>0</v>
      </c>
      <c r="BZ91" s="5">
        <v>0</v>
      </c>
      <c r="CA91" s="5">
        <v>0</v>
      </c>
      <c r="CB91" s="5">
        <v>0</v>
      </c>
      <c r="CC91" s="7">
        <v>0</v>
      </c>
      <c r="CD91" s="5">
        <v>0</v>
      </c>
      <c r="CE91" s="5">
        <v>0</v>
      </c>
      <c r="CF91" s="5">
        <v>0</v>
      </c>
      <c r="CG91" s="5">
        <v>0</v>
      </c>
      <c r="CH91" s="5">
        <v>0</v>
      </c>
      <c r="CI91" s="5">
        <v>0</v>
      </c>
      <c r="CJ91" s="5">
        <v>0</v>
      </c>
      <c r="CK91" s="5">
        <v>0</v>
      </c>
      <c r="CL91" s="5">
        <v>0</v>
      </c>
      <c r="CM91" s="5">
        <v>0</v>
      </c>
      <c r="CN91" s="5">
        <v>0</v>
      </c>
      <c r="CO91" s="5">
        <v>0</v>
      </c>
      <c r="CP91" s="5">
        <v>0</v>
      </c>
      <c r="CQ91" s="5">
        <v>0</v>
      </c>
      <c r="CR91" s="5">
        <v>0</v>
      </c>
      <c r="CS91" s="5">
        <v>0</v>
      </c>
      <c r="CT91" s="5">
        <v>0</v>
      </c>
      <c r="CU91" s="5">
        <v>0</v>
      </c>
      <c r="CV91" s="5">
        <v>0</v>
      </c>
      <c r="CW91" s="5">
        <v>0</v>
      </c>
      <c r="CX91" s="5">
        <v>0</v>
      </c>
      <c r="CY91" s="5">
        <v>0</v>
      </c>
      <c r="CZ91" s="5">
        <v>0</v>
      </c>
      <c r="DA91" s="5">
        <v>0</v>
      </c>
      <c r="DB91" s="5">
        <v>0</v>
      </c>
      <c r="DC91" s="5">
        <v>0</v>
      </c>
      <c r="DD91" s="5">
        <v>0</v>
      </c>
      <c r="DE91" s="5">
        <v>0</v>
      </c>
      <c r="DF91" s="5">
        <v>0</v>
      </c>
      <c r="DG91" s="5">
        <v>0</v>
      </c>
      <c r="DH91" s="5">
        <v>0</v>
      </c>
      <c r="DI91" s="5">
        <v>0</v>
      </c>
      <c r="DJ91" s="5">
        <v>0</v>
      </c>
      <c r="DK91" s="6">
        <v>0</v>
      </c>
    </row>
    <row r="92" spans="1:115" x14ac:dyDescent="0.15">
      <c r="A92" s="4">
        <v>0</v>
      </c>
      <c r="B92" s="5">
        <v>0</v>
      </c>
      <c r="C92" s="5">
        <v>0</v>
      </c>
      <c r="D92" s="5">
        <v>0</v>
      </c>
      <c r="E92" s="5">
        <v>0</v>
      </c>
      <c r="F92" s="5">
        <v>0</v>
      </c>
      <c r="G92" s="5">
        <v>0</v>
      </c>
      <c r="H92" s="5">
        <v>0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Z92" s="5">
        <v>0</v>
      </c>
      <c r="AA92" s="5">
        <v>0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0</v>
      </c>
      <c r="BA92" s="5">
        <v>0</v>
      </c>
      <c r="BB92" s="5">
        <v>0</v>
      </c>
      <c r="BC92" s="5">
        <v>0</v>
      </c>
      <c r="BD92" s="5">
        <v>0</v>
      </c>
      <c r="BE92" s="5">
        <v>0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5">
        <v>0</v>
      </c>
      <c r="BM92" s="5">
        <v>0</v>
      </c>
      <c r="BN92" s="5">
        <v>0</v>
      </c>
      <c r="BO92" s="5">
        <v>0</v>
      </c>
      <c r="BP92" s="5">
        <v>0</v>
      </c>
      <c r="BQ92" s="5">
        <v>0</v>
      </c>
      <c r="BR92" s="5">
        <v>0</v>
      </c>
      <c r="BS92" s="5">
        <v>0</v>
      </c>
      <c r="BT92" s="5">
        <v>0</v>
      </c>
      <c r="BU92" s="5">
        <v>0</v>
      </c>
      <c r="BV92" s="5">
        <v>0</v>
      </c>
      <c r="BW92" s="5">
        <v>0</v>
      </c>
      <c r="BX92" s="5">
        <v>0</v>
      </c>
      <c r="BY92" s="5">
        <v>0</v>
      </c>
      <c r="BZ92" s="5">
        <v>0</v>
      </c>
      <c r="CA92" s="5">
        <v>0</v>
      </c>
      <c r="CB92" s="5">
        <v>0</v>
      </c>
      <c r="CC92" s="5">
        <v>0</v>
      </c>
      <c r="CD92" s="5">
        <v>0</v>
      </c>
      <c r="CE92" s="5">
        <v>0</v>
      </c>
      <c r="CF92" s="5">
        <v>0</v>
      </c>
      <c r="CG92" s="5">
        <v>0</v>
      </c>
      <c r="CH92" s="5">
        <v>0</v>
      </c>
      <c r="CI92" s="5">
        <v>0</v>
      </c>
      <c r="CJ92" s="5">
        <v>0</v>
      </c>
      <c r="CK92" s="5">
        <v>0</v>
      </c>
      <c r="CL92" s="5">
        <v>0</v>
      </c>
      <c r="CM92" s="5">
        <v>0</v>
      </c>
      <c r="CN92" s="5">
        <v>0</v>
      </c>
      <c r="CO92" s="5">
        <v>0</v>
      </c>
      <c r="CP92" s="5">
        <v>0</v>
      </c>
      <c r="CQ92" s="5">
        <v>0</v>
      </c>
      <c r="CR92" s="5">
        <v>0</v>
      </c>
      <c r="CS92" s="5">
        <v>0</v>
      </c>
      <c r="CT92" s="5">
        <v>0</v>
      </c>
      <c r="CU92" s="5">
        <v>0</v>
      </c>
      <c r="CV92" s="5">
        <v>0</v>
      </c>
      <c r="CW92" s="5">
        <v>0</v>
      </c>
      <c r="CX92" s="5">
        <v>0</v>
      </c>
      <c r="CY92" s="5">
        <v>0</v>
      </c>
      <c r="CZ92" s="5">
        <v>0</v>
      </c>
      <c r="DA92" s="5">
        <v>0</v>
      </c>
      <c r="DB92" s="5">
        <v>0</v>
      </c>
      <c r="DC92" s="5">
        <v>0</v>
      </c>
      <c r="DD92" s="5">
        <v>0</v>
      </c>
      <c r="DE92" s="5">
        <v>0</v>
      </c>
      <c r="DF92" s="5">
        <v>0</v>
      </c>
      <c r="DG92" s="5">
        <v>0</v>
      </c>
      <c r="DH92" s="5">
        <v>0</v>
      </c>
      <c r="DI92" s="5">
        <v>0</v>
      </c>
      <c r="DJ92" s="5">
        <v>0</v>
      </c>
      <c r="DK92" s="6">
        <v>0</v>
      </c>
    </row>
    <row r="93" spans="1:115" x14ac:dyDescent="0.15">
      <c r="A93" s="4">
        <v>0</v>
      </c>
      <c r="B93" s="5">
        <v>0</v>
      </c>
      <c r="C93" s="5">
        <v>0</v>
      </c>
      <c r="D93" s="5">
        <v>0</v>
      </c>
      <c r="E93" s="5">
        <v>0</v>
      </c>
      <c r="F93" s="5">
        <v>0</v>
      </c>
      <c r="G93" s="5">
        <v>0</v>
      </c>
      <c r="H93" s="5">
        <v>0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Z93" s="5">
        <v>0</v>
      </c>
      <c r="AA93" s="5">
        <v>0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0</v>
      </c>
      <c r="BA93" s="5">
        <v>0</v>
      </c>
      <c r="BB93" s="5">
        <v>0</v>
      </c>
      <c r="BC93" s="5">
        <v>0</v>
      </c>
      <c r="BD93" s="5">
        <v>0</v>
      </c>
      <c r="BE93" s="5">
        <v>0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5">
        <v>0</v>
      </c>
      <c r="BM93" s="5">
        <v>0</v>
      </c>
      <c r="BN93" s="5">
        <v>0</v>
      </c>
      <c r="BO93" s="5">
        <v>0</v>
      </c>
      <c r="BP93" s="5">
        <v>0</v>
      </c>
      <c r="BQ93" s="5">
        <v>0</v>
      </c>
      <c r="BR93" s="5">
        <v>0</v>
      </c>
      <c r="BS93" s="5">
        <v>0</v>
      </c>
      <c r="BT93" s="5">
        <v>0</v>
      </c>
      <c r="BU93" s="5">
        <v>0</v>
      </c>
      <c r="BV93" s="5">
        <v>0</v>
      </c>
      <c r="BW93" s="5">
        <v>0</v>
      </c>
      <c r="BX93" s="5">
        <v>0</v>
      </c>
      <c r="BY93" s="5">
        <v>0</v>
      </c>
      <c r="BZ93" s="5">
        <v>0</v>
      </c>
      <c r="CA93" s="5">
        <v>0</v>
      </c>
      <c r="CB93" s="5">
        <v>0</v>
      </c>
      <c r="CC93" s="5">
        <v>0</v>
      </c>
      <c r="CD93" s="5">
        <v>0</v>
      </c>
      <c r="CE93" s="5">
        <v>0</v>
      </c>
      <c r="CF93" s="5">
        <v>0</v>
      </c>
      <c r="CG93" s="5">
        <v>0</v>
      </c>
      <c r="CH93" s="5">
        <v>0</v>
      </c>
      <c r="CI93" s="5">
        <v>0</v>
      </c>
      <c r="CJ93" s="5">
        <v>0</v>
      </c>
      <c r="CK93" s="5">
        <v>0</v>
      </c>
      <c r="CL93" s="5">
        <v>0</v>
      </c>
      <c r="CM93" s="5">
        <v>0</v>
      </c>
      <c r="CN93" s="5">
        <v>0</v>
      </c>
      <c r="CO93" s="5">
        <v>0</v>
      </c>
      <c r="CP93" s="5">
        <v>0</v>
      </c>
      <c r="CQ93" s="5">
        <v>0</v>
      </c>
      <c r="CR93" s="5">
        <v>0</v>
      </c>
      <c r="CS93" s="5">
        <v>0</v>
      </c>
      <c r="CT93" s="5">
        <v>0</v>
      </c>
      <c r="CU93" s="5">
        <v>0</v>
      </c>
      <c r="CV93" s="5">
        <v>0</v>
      </c>
      <c r="CW93" s="5">
        <v>0</v>
      </c>
      <c r="CX93" s="5">
        <v>0</v>
      </c>
      <c r="CY93" s="5">
        <v>0</v>
      </c>
      <c r="CZ93" s="5">
        <v>0</v>
      </c>
      <c r="DA93" s="5">
        <v>0</v>
      </c>
      <c r="DB93" s="5">
        <v>0</v>
      </c>
      <c r="DC93" s="5">
        <v>0</v>
      </c>
      <c r="DD93" s="5">
        <v>0</v>
      </c>
      <c r="DE93" s="5">
        <v>0</v>
      </c>
      <c r="DF93" s="5">
        <v>0</v>
      </c>
      <c r="DG93" s="5">
        <v>0</v>
      </c>
      <c r="DH93" s="5">
        <v>0</v>
      </c>
      <c r="DI93" s="5">
        <v>0</v>
      </c>
      <c r="DJ93" s="5">
        <v>0</v>
      </c>
      <c r="DK93" s="6">
        <v>0</v>
      </c>
    </row>
    <row r="94" spans="1:115" x14ac:dyDescent="0.15">
      <c r="A94" s="4">
        <v>0</v>
      </c>
      <c r="B94" s="5">
        <v>0</v>
      </c>
      <c r="C94" s="5">
        <v>0</v>
      </c>
      <c r="D94" s="5">
        <v>0</v>
      </c>
      <c r="E94" s="5">
        <v>0</v>
      </c>
      <c r="F94" s="5">
        <v>0</v>
      </c>
      <c r="G94" s="5">
        <v>0</v>
      </c>
      <c r="H94" s="5">
        <v>0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Z94" s="5">
        <v>0</v>
      </c>
      <c r="AA94" s="5">
        <v>0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0</v>
      </c>
      <c r="BA94" s="5">
        <v>0</v>
      </c>
      <c r="BB94" s="5">
        <v>0</v>
      </c>
      <c r="BC94" s="5">
        <v>0</v>
      </c>
      <c r="BD94" s="5">
        <v>0</v>
      </c>
      <c r="BE94" s="5">
        <v>0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5">
        <v>0</v>
      </c>
      <c r="BM94" s="5">
        <v>0</v>
      </c>
      <c r="BN94" s="5">
        <v>0</v>
      </c>
      <c r="BO94" s="5">
        <v>0</v>
      </c>
      <c r="BP94" s="5">
        <v>0</v>
      </c>
      <c r="BQ94" s="5">
        <v>0</v>
      </c>
      <c r="BR94" s="5">
        <v>0</v>
      </c>
      <c r="BS94" s="5">
        <v>0</v>
      </c>
      <c r="BT94" s="5">
        <v>0</v>
      </c>
      <c r="BU94" s="5">
        <v>0</v>
      </c>
      <c r="BV94" s="5">
        <v>0</v>
      </c>
      <c r="BW94" s="5">
        <v>0</v>
      </c>
      <c r="BX94" s="5">
        <v>0</v>
      </c>
      <c r="BY94" s="5">
        <v>0</v>
      </c>
      <c r="BZ94" s="5">
        <v>0</v>
      </c>
      <c r="CA94" s="5">
        <v>0</v>
      </c>
      <c r="CB94" s="5">
        <v>0</v>
      </c>
      <c r="CC94" s="5">
        <v>0</v>
      </c>
      <c r="CD94" s="5">
        <v>0</v>
      </c>
      <c r="CE94" s="5">
        <v>0</v>
      </c>
      <c r="CF94" s="5">
        <v>0</v>
      </c>
      <c r="CG94" s="5">
        <v>0</v>
      </c>
      <c r="CH94" s="5">
        <v>0</v>
      </c>
      <c r="CI94" s="5">
        <v>0</v>
      </c>
      <c r="CJ94" s="5">
        <v>0</v>
      </c>
      <c r="CK94" s="5">
        <v>0</v>
      </c>
      <c r="CL94" s="5">
        <v>0</v>
      </c>
      <c r="CM94" s="5">
        <v>0</v>
      </c>
      <c r="CN94" s="5">
        <v>0</v>
      </c>
      <c r="CO94" s="5">
        <v>0</v>
      </c>
      <c r="CP94" s="5">
        <v>0</v>
      </c>
      <c r="CQ94" s="5">
        <v>0</v>
      </c>
      <c r="CR94" s="5">
        <v>0</v>
      </c>
      <c r="CS94" s="5">
        <v>0</v>
      </c>
      <c r="CT94" s="5">
        <v>0</v>
      </c>
      <c r="CU94" s="5">
        <v>0</v>
      </c>
      <c r="CV94" s="5">
        <v>0</v>
      </c>
      <c r="CW94" s="5">
        <v>0</v>
      </c>
      <c r="CX94" s="5">
        <v>0</v>
      </c>
      <c r="CY94" s="5">
        <v>0</v>
      </c>
      <c r="CZ94" s="5">
        <v>0</v>
      </c>
      <c r="DA94" s="5">
        <v>0</v>
      </c>
      <c r="DB94" s="5">
        <v>0</v>
      </c>
      <c r="DC94" s="5">
        <v>0</v>
      </c>
      <c r="DD94" s="5">
        <v>0</v>
      </c>
      <c r="DE94" s="5">
        <v>0</v>
      </c>
      <c r="DF94" s="5">
        <v>0</v>
      </c>
      <c r="DG94" s="5">
        <v>0</v>
      </c>
      <c r="DH94" s="5">
        <v>0</v>
      </c>
      <c r="DI94" s="5">
        <v>0</v>
      </c>
      <c r="DJ94" s="5">
        <v>0</v>
      </c>
      <c r="DK94" s="6">
        <v>0</v>
      </c>
    </row>
    <row r="95" spans="1:115" x14ac:dyDescent="0.15">
      <c r="A95" s="4">
        <v>0</v>
      </c>
      <c r="B95" s="5">
        <v>0</v>
      </c>
      <c r="C95" s="5">
        <v>0</v>
      </c>
      <c r="D95" s="5">
        <v>0</v>
      </c>
      <c r="E95" s="5">
        <v>0</v>
      </c>
      <c r="F95" s="5">
        <v>0</v>
      </c>
      <c r="G95" s="5">
        <v>0</v>
      </c>
      <c r="H95" s="5">
        <v>0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Z95" s="5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0</v>
      </c>
      <c r="BA95" s="5">
        <v>0</v>
      </c>
      <c r="BB95" s="5">
        <v>0</v>
      </c>
      <c r="BC95" s="5">
        <v>0</v>
      </c>
      <c r="BD95" s="5">
        <v>0</v>
      </c>
      <c r="BE95" s="5">
        <v>0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5">
        <v>0</v>
      </c>
      <c r="BM95" s="5">
        <v>0</v>
      </c>
      <c r="BN95" s="5">
        <v>0</v>
      </c>
      <c r="BO95" s="5">
        <v>0</v>
      </c>
      <c r="BP95" s="5">
        <v>0</v>
      </c>
      <c r="BQ95" s="5">
        <v>0</v>
      </c>
      <c r="BR95" s="5">
        <v>0</v>
      </c>
      <c r="BS95" s="5">
        <v>0</v>
      </c>
      <c r="BT95" s="5">
        <v>0</v>
      </c>
      <c r="BU95" s="5">
        <v>0</v>
      </c>
      <c r="BV95" s="5">
        <v>0</v>
      </c>
      <c r="BW95" s="5">
        <v>0</v>
      </c>
      <c r="BX95" s="5">
        <v>0</v>
      </c>
      <c r="BY95" s="5">
        <v>0</v>
      </c>
      <c r="BZ95" s="5">
        <v>0</v>
      </c>
      <c r="CA95" s="5">
        <v>0</v>
      </c>
      <c r="CB95" s="5">
        <v>0</v>
      </c>
      <c r="CC95" s="5">
        <v>0</v>
      </c>
      <c r="CD95" s="5">
        <v>0</v>
      </c>
      <c r="CE95" s="5">
        <v>0</v>
      </c>
      <c r="CF95" s="5">
        <v>0</v>
      </c>
      <c r="CG95" s="5">
        <v>0</v>
      </c>
      <c r="CH95" s="5">
        <v>0</v>
      </c>
      <c r="CI95" s="5">
        <v>0</v>
      </c>
      <c r="CJ95" s="5">
        <v>0</v>
      </c>
      <c r="CK95" s="5">
        <v>0</v>
      </c>
      <c r="CL95" s="5">
        <v>0</v>
      </c>
      <c r="CM95" s="5">
        <v>0</v>
      </c>
      <c r="CN95" s="5">
        <v>0</v>
      </c>
      <c r="CO95" s="5">
        <v>0</v>
      </c>
      <c r="CP95" s="5">
        <v>0</v>
      </c>
      <c r="CQ95" s="5">
        <v>0</v>
      </c>
      <c r="CR95" s="5">
        <v>0</v>
      </c>
      <c r="CS95" s="5">
        <v>0</v>
      </c>
      <c r="CT95" s="5">
        <v>0</v>
      </c>
      <c r="CU95" s="5">
        <v>0</v>
      </c>
      <c r="CV95" s="5">
        <v>0</v>
      </c>
      <c r="CW95" s="5">
        <v>0</v>
      </c>
      <c r="CX95" s="5">
        <v>0</v>
      </c>
      <c r="CY95" s="5">
        <v>0</v>
      </c>
      <c r="CZ95" s="5">
        <v>0</v>
      </c>
      <c r="DA95" s="5">
        <v>0</v>
      </c>
      <c r="DB95" s="5">
        <v>0</v>
      </c>
      <c r="DC95" s="5">
        <v>0</v>
      </c>
      <c r="DD95" s="5">
        <v>0</v>
      </c>
      <c r="DE95" s="5">
        <v>0</v>
      </c>
      <c r="DF95" s="5">
        <v>0</v>
      </c>
      <c r="DG95" s="5">
        <v>0</v>
      </c>
      <c r="DH95" s="5">
        <v>0</v>
      </c>
      <c r="DI95" s="5">
        <v>0</v>
      </c>
      <c r="DJ95" s="5">
        <v>0</v>
      </c>
      <c r="DK95" s="6">
        <v>0</v>
      </c>
    </row>
    <row r="96" spans="1:115" x14ac:dyDescent="0.15">
      <c r="A96" s="4">
        <v>0</v>
      </c>
      <c r="B96" s="5">
        <v>0</v>
      </c>
      <c r="C96" s="5">
        <v>0</v>
      </c>
      <c r="D96" s="5">
        <v>0</v>
      </c>
      <c r="E96" s="5">
        <v>0</v>
      </c>
      <c r="F96" s="5">
        <v>0</v>
      </c>
      <c r="G96" s="5">
        <v>0</v>
      </c>
      <c r="H96" s="5">
        <v>0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 s="5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Z96" s="5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0</v>
      </c>
      <c r="BA96" s="5">
        <v>0</v>
      </c>
      <c r="BB96" s="5">
        <v>0</v>
      </c>
      <c r="BC96" s="5">
        <v>0</v>
      </c>
      <c r="BD96" s="5">
        <v>0</v>
      </c>
      <c r="BE96" s="5">
        <v>0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5">
        <v>0</v>
      </c>
      <c r="BM96" s="5">
        <v>0</v>
      </c>
      <c r="BN96" s="5">
        <v>0</v>
      </c>
      <c r="BO96" s="5">
        <v>0</v>
      </c>
      <c r="BP96" s="5">
        <v>0</v>
      </c>
      <c r="BQ96" s="5">
        <v>0</v>
      </c>
      <c r="BR96" s="5">
        <v>0</v>
      </c>
      <c r="BS96" s="5">
        <v>0</v>
      </c>
      <c r="BT96" s="5">
        <v>0</v>
      </c>
      <c r="BU96" s="5">
        <v>0</v>
      </c>
      <c r="BV96" s="5">
        <v>0</v>
      </c>
      <c r="BW96" s="5">
        <v>0</v>
      </c>
      <c r="BX96" s="5">
        <v>0</v>
      </c>
      <c r="BY96" s="5">
        <v>0</v>
      </c>
      <c r="BZ96" s="5">
        <v>0</v>
      </c>
      <c r="CA96" s="5">
        <v>0</v>
      </c>
      <c r="CB96" s="5">
        <v>0</v>
      </c>
      <c r="CC96" s="5">
        <v>0</v>
      </c>
      <c r="CD96" s="5">
        <v>0</v>
      </c>
      <c r="CE96" s="5">
        <v>0</v>
      </c>
      <c r="CF96" s="5">
        <v>0</v>
      </c>
      <c r="CG96" s="5">
        <v>0</v>
      </c>
      <c r="CH96" s="5">
        <v>0</v>
      </c>
      <c r="CI96" s="5">
        <v>0</v>
      </c>
      <c r="CJ96" s="5">
        <v>0</v>
      </c>
      <c r="CK96" s="5">
        <v>0</v>
      </c>
      <c r="CL96" s="5">
        <v>0</v>
      </c>
      <c r="CM96" s="5">
        <v>0</v>
      </c>
      <c r="CN96" s="5">
        <v>0</v>
      </c>
      <c r="CO96" s="5">
        <v>0</v>
      </c>
      <c r="CP96" s="5">
        <v>0</v>
      </c>
      <c r="CQ96" s="5">
        <v>0</v>
      </c>
      <c r="CR96" s="5">
        <v>0</v>
      </c>
      <c r="CS96" s="5">
        <v>0</v>
      </c>
      <c r="CT96" s="5">
        <v>0</v>
      </c>
      <c r="CU96" s="5">
        <v>0</v>
      </c>
      <c r="CV96" s="5">
        <v>0</v>
      </c>
      <c r="CW96" s="5">
        <v>0</v>
      </c>
      <c r="CX96" s="5">
        <v>0</v>
      </c>
      <c r="CY96" s="5">
        <v>0</v>
      </c>
      <c r="CZ96" s="5">
        <v>0</v>
      </c>
      <c r="DA96" s="5">
        <v>0</v>
      </c>
      <c r="DB96" s="5">
        <v>0</v>
      </c>
      <c r="DC96" s="5">
        <v>0</v>
      </c>
      <c r="DD96" s="5">
        <v>0</v>
      </c>
      <c r="DE96" s="5">
        <v>0</v>
      </c>
      <c r="DF96" s="5">
        <v>0</v>
      </c>
      <c r="DG96" s="5">
        <v>0</v>
      </c>
      <c r="DH96" s="5">
        <v>0</v>
      </c>
      <c r="DI96" s="5">
        <v>0</v>
      </c>
      <c r="DJ96" s="5">
        <v>0</v>
      </c>
      <c r="DK96" s="6">
        <v>0</v>
      </c>
    </row>
    <row r="97" spans="1:115" x14ac:dyDescent="0.15">
      <c r="A97" s="4">
        <v>0</v>
      </c>
      <c r="B97" s="5">
        <v>0</v>
      </c>
      <c r="C97" s="5">
        <v>0</v>
      </c>
      <c r="D97" s="5">
        <v>0</v>
      </c>
      <c r="E97" s="5">
        <v>0</v>
      </c>
      <c r="F97" s="5">
        <v>0</v>
      </c>
      <c r="G97" s="5">
        <v>0</v>
      </c>
      <c r="H97" s="5">
        <v>0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 s="5">
        <v>0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Z97" s="5">
        <v>0</v>
      </c>
      <c r="AA97" s="5">
        <v>0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0</v>
      </c>
      <c r="BA97" s="5">
        <v>0</v>
      </c>
      <c r="BB97" s="5">
        <v>0</v>
      </c>
      <c r="BC97" s="5">
        <v>0</v>
      </c>
      <c r="BD97" s="5">
        <v>0</v>
      </c>
      <c r="BE97" s="5">
        <v>0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5">
        <v>0</v>
      </c>
      <c r="BM97" s="5">
        <v>0</v>
      </c>
      <c r="BN97" s="5">
        <v>0</v>
      </c>
      <c r="BO97" s="5">
        <v>0</v>
      </c>
      <c r="BP97" s="5">
        <v>0</v>
      </c>
      <c r="BQ97" s="5">
        <v>0</v>
      </c>
      <c r="BR97" s="5">
        <v>0</v>
      </c>
      <c r="BS97" s="5">
        <v>0</v>
      </c>
      <c r="BT97" s="5">
        <v>0</v>
      </c>
      <c r="BU97" s="5">
        <v>0</v>
      </c>
      <c r="BV97" s="5">
        <v>0</v>
      </c>
      <c r="BW97" s="5">
        <v>0</v>
      </c>
      <c r="BX97" s="5">
        <v>0</v>
      </c>
      <c r="BY97" s="5">
        <v>0</v>
      </c>
      <c r="BZ97" s="5">
        <v>0</v>
      </c>
      <c r="CA97" s="5">
        <v>0</v>
      </c>
      <c r="CB97" s="5">
        <v>0</v>
      </c>
      <c r="CC97" s="5">
        <v>0</v>
      </c>
      <c r="CD97" s="5">
        <v>0</v>
      </c>
      <c r="CE97" s="5">
        <v>0</v>
      </c>
      <c r="CF97" s="5">
        <v>0</v>
      </c>
      <c r="CG97" s="5">
        <v>0</v>
      </c>
      <c r="CH97" s="5">
        <v>0</v>
      </c>
      <c r="CI97" s="5">
        <v>0</v>
      </c>
      <c r="CJ97" s="5">
        <v>0</v>
      </c>
      <c r="CK97" s="5">
        <v>0</v>
      </c>
      <c r="CL97" s="5">
        <v>0</v>
      </c>
      <c r="CM97" s="5">
        <v>0</v>
      </c>
      <c r="CN97" s="5">
        <v>0</v>
      </c>
      <c r="CO97" s="5">
        <v>0</v>
      </c>
      <c r="CP97" s="5">
        <v>0</v>
      </c>
      <c r="CQ97" s="5">
        <v>0</v>
      </c>
      <c r="CR97" s="5">
        <v>0</v>
      </c>
      <c r="CS97" s="5">
        <v>0</v>
      </c>
      <c r="CT97" s="5">
        <v>0</v>
      </c>
      <c r="CU97" s="5">
        <v>0</v>
      </c>
      <c r="CV97" s="5">
        <v>0</v>
      </c>
      <c r="CW97" s="5">
        <v>0</v>
      </c>
      <c r="CX97" s="5">
        <v>0</v>
      </c>
      <c r="CY97" s="5">
        <v>0</v>
      </c>
      <c r="CZ97" s="5">
        <v>0</v>
      </c>
      <c r="DA97" s="5">
        <v>0</v>
      </c>
      <c r="DB97" s="5">
        <v>0</v>
      </c>
      <c r="DC97" s="5">
        <v>0</v>
      </c>
      <c r="DD97" s="5">
        <v>0</v>
      </c>
      <c r="DE97" s="5">
        <v>0</v>
      </c>
      <c r="DF97" s="5">
        <v>0</v>
      </c>
      <c r="DG97" s="5">
        <v>0</v>
      </c>
      <c r="DH97" s="5">
        <v>0</v>
      </c>
      <c r="DI97" s="5">
        <v>0</v>
      </c>
      <c r="DJ97" s="5">
        <v>0</v>
      </c>
      <c r="DK97" s="6">
        <v>0</v>
      </c>
    </row>
    <row r="98" spans="1:115" x14ac:dyDescent="0.15">
      <c r="A98" s="4">
        <v>0</v>
      </c>
      <c r="B98" s="5">
        <v>0</v>
      </c>
      <c r="C98" s="5">
        <v>0</v>
      </c>
      <c r="D98" s="5">
        <v>0</v>
      </c>
      <c r="E98" s="5">
        <v>0</v>
      </c>
      <c r="F98" s="5">
        <v>0</v>
      </c>
      <c r="G98" s="5">
        <v>0</v>
      </c>
      <c r="H98" s="5">
        <v>0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 s="5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0</v>
      </c>
      <c r="AA98" s="5">
        <v>0</v>
      </c>
      <c r="AB98" s="7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0</v>
      </c>
      <c r="BA98" s="5">
        <v>0</v>
      </c>
      <c r="BB98" s="5">
        <v>0</v>
      </c>
      <c r="BC98" s="5">
        <v>0</v>
      </c>
      <c r="BD98" s="5">
        <v>0</v>
      </c>
      <c r="BE98" s="5">
        <v>0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5">
        <v>0</v>
      </c>
      <c r="BM98" s="5">
        <v>0</v>
      </c>
      <c r="BN98" s="5">
        <v>0</v>
      </c>
      <c r="BO98" s="5">
        <v>0</v>
      </c>
      <c r="BP98" s="5">
        <v>0</v>
      </c>
      <c r="BQ98" s="5">
        <v>0</v>
      </c>
      <c r="BR98" s="5">
        <v>0</v>
      </c>
      <c r="BS98" s="5">
        <v>0</v>
      </c>
      <c r="BT98" s="5">
        <v>0</v>
      </c>
      <c r="BU98" s="5">
        <v>0</v>
      </c>
      <c r="BV98" s="5">
        <v>0</v>
      </c>
      <c r="BW98" s="5">
        <v>0</v>
      </c>
      <c r="BX98" s="5">
        <v>0</v>
      </c>
      <c r="BY98" s="5">
        <v>0</v>
      </c>
      <c r="BZ98" s="5">
        <v>0</v>
      </c>
      <c r="CA98" s="5">
        <v>0</v>
      </c>
      <c r="CB98" s="5">
        <v>0</v>
      </c>
      <c r="CC98" s="5">
        <v>0</v>
      </c>
      <c r="CD98" s="5">
        <v>0</v>
      </c>
      <c r="CE98" s="5">
        <v>0</v>
      </c>
      <c r="CF98" s="5">
        <v>0</v>
      </c>
      <c r="CG98" s="5">
        <v>0</v>
      </c>
      <c r="CH98" s="5">
        <v>0</v>
      </c>
      <c r="CI98" s="5">
        <v>0</v>
      </c>
      <c r="CJ98" s="5">
        <v>0</v>
      </c>
      <c r="CK98" s="5">
        <v>0</v>
      </c>
      <c r="CL98" s="5">
        <v>0</v>
      </c>
      <c r="CM98" s="5">
        <v>0</v>
      </c>
      <c r="CN98" s="5">
        <v>0</v>
      </c>
      <c r="CO98" s="5">
        <v>0</v>
      </c>
      <c r="CP98" s="5">
        <v>0</v>
      </c>
      <c r="CQ98" s="5">
        <v>0</v>
      </c>
      <c r="CR98" s="5">
        <v>0</v>
      </c>
      <c r="CS98" s="5">
        <v>0</v>
      </c>
      <c r="CT98" s="5">
        <v>0</v>
      </c>
      <c r="CU98" s="5">
        <v>0</v>
      </c>
      <c r="CV98" s="5">
        <v>0</v>
      </c>
      <c r="CW98" s="5">
        <v>0</v>
      </c>
      <c r="CX98" s="5">
        <v>0</v>
      </c>
      <c r="CY98" s="5">
        <v>0</v>
      </c>
      <c r="CZ98" s="5">
        <v>0</v>
      </c>
      <c r="DA98" s="5">
        <v>0</v>
      </c>
      <c r="DB98" s="5">
        <v>0</v>
      </c>
      <c r="DC98" s="5">
        <v>0</v>
      </c>
      <c r="DD98" s="5">
        <v>0</v>
      </c>
      <c r="DE98" s="5">
        <v>0</v>
      </c>
      <c r="DF98" s="5">
        <v>0</v>
      </c>
      <c r="DG98" s="5">
        <v>0</v>
      </c>
      <c r="DH98" s="5">
        <v>0</v>
      </c>
      <c r="DI98" s="5">
        <v>0</v>
      </c>
      <c r="DJ98" s="5">
        <v>0</v>
      </c>
      <c r="DK98" s="6">
        <v>0</v>
      </c>
    </row>
    <row r="99" spans="1:115" x14ac:dyDescent="0.15">
      <c r="A99" s="4">
        <v>0</v>
      </c>
      <c r="B99" s="5">
        <v>0</v>
      </c>
      <c r="C99" s="5">
        <v>0</v>
      </c>
      <c r="D99" s="5">
        <v>0</v>
      </c>
      <c r="E99" s="5">
        <v>0</v>
      </c>
      <c r="F99" s="5">
        <v>0</v>
      </c>
      <c r="G99" s="5">
        <v>0</v>
      </c>
      <c r="H99" s="5">
        <v>0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 s="5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Z99" s="5">
        <v>0</v>
      </c>
      <c r="AA99" s="5">
        <v>0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0</v>
      </c>
      <c r="BA99" s="5">
        <v>0</v>
      </c>
      <c r="BB99" s="5">
        <v>0</v>
      </c>
      <c r="BC99" s="5">
        <v>0</v>
      </c>
      <c r="BD99" s="5">
        <v>0</v>
      </c>
      <c r="BE99" s="5">
        <v>0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5">
        <v>0</v>
      </c>
      <c r="BM99" s="5">
        <v>0</v>
      </c>
      <c r="BN99" s="5">
        <v>0</v>
      </c>
      <c r="BO99" s="5">
        <v>0</v>
      </c>
      <c r="BP99" s="5">
        <v>0</v>
      </c>
      <c r="BQ99" s="5">
        <v>0</v>
      </c>
      <c r="BR99" s="5">
        <v>0</v>
      </c>
      <c r="BS99" s="5">
        <v>0</v>
      </c>
      <c r="BT99" s="5">
        <v>0</v>
      </c>
      <c r="BU99" s="5">
        <v>0</v>
      </c>
      <c r="BV99" s="5">
        <v>0</v>
      </c>
      <c r="BW99" s="5">
        <v>0</v>
      </c>
      <c r="BX99" s="5">
        <v>0</v>
      </c>
      <c r="BY99" s="5">
        <v>0</v>
      </c>
      <c r="BZ99" s="5">
        <v>0</v>
      </c>
      <c r="CA99" s="5">
        <v>0</v>
      </c>
      <c r="CB99" s="5">
        <v>0</v>
      </c>
      <c r="CC99" s="5">
        <v>0</v>
      </c>
      <c r="CD99" s="5">
        <v>0</v>
      </c>
      <c r="CE99" s="5">
        <v>0</v>
      </c>
      <c r="CF99" s="5">
        <v>0</v>
      </c>
      <c r="CG99" s="5">
        <v>0</v>
      </c>
      <c r="CH99" s="5">
        <v>0</v>
      </c>
      <c r="CI99" s="5">
        <v>0</v>
      </c>
      <c r="CJ99" s="5">
        <v>0</v>
      </c>
      <c r="CK99" s="5">
        <v>0</v>
      </c>
      <c r="CL99" s="5">
        <v>0</v>
      </c>
      <c r="CM99" s="5">
        <v>0</v>
      </c>
      <c r="CN99" s="5">
        <v>0</v>
      </c>
      <c r="CO99" s="5">
        <v>0</v>
      </c>
      <c r="CP99" s="5">
        <v>0</v>
      </c>
      <c r="CQ99" s="5">
        <v>0</v>
      </c>
      <c r="CR99" s="5">
        <v>0</v>
      </c>
      <c r="CS99" s="5">
        <v>0</v>
      </c>
      <c r="CT99" s="5">
        <v>0</v>
      </c>
      <c r="CU99" s="5">
        <v>0</v>
      </c>
      <c r="CV99" s="5">
        <v>0</v>
      </c>
      <c r="CW99" s="5">
        <v>0</v>
      </c>
      <c r="CX99" s="5">
        <v>0</v>
      </c>
      <c r="CY99" s="5">
        <v>0</v>
      </c>
      <c r="CZ99" s="5">
        <v>0</v>
      </c>
      <c r="DA99" s="5">
        <v>0</v>
      </c>
      <c r="DB99" s="5">
        <v>0</v>
      </c>
      <c r="DC99" s="5">
        <v>0</v>
      </c>
      <c r="DD99" s="5">
        <v>0</v>
      </c>
      <c r="DE99" s="5">
        <v>0</v>
      </c>
      <c r="DF99" s="5">
        <v>0</v>
      </c>
      <c r="DG99" s="5">
        <v>0</v>
      </c>
      <c r="DH99" s="5">
        <v>0</v>
      </c>
      <c r="DI99" s="5">
        <v>0</v>
      </c>
      <c r="DJ99" s="5">
        <v>0</v>
      </c>
      <c r="DK99" s="6">
        <v>0</v>
      </c>
    </row>
    <row r="100" spans="1:115" x14ac:dyDescent="0.15">
      <c r="A100" s="4">
        <v>0</v>
      </c>
      <c r="B100" s="5">
        <v>0</v>
      </c>
      <c r="C100" s="5">
        <v>0</v>
      </c>
      <c r="D100" s="5">
        <v>0</v>
      </c>
      <c r="E100" s="5">
        <v>0</v>
      </c>
      <c r="F100" s="5">
        <v>0</v>
      </c>
      <c r="G100" s="5">
        <v>0</v>
      </c>
      <c r="H100" s="5">
        <v>0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Z100" s="5">
        <v>0</v>
      </c>
      <c r="AA100" s="5">
        <v>0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0</v>
      </c>
      <c r="BA100" s="5">
        <v>0</v>
      </c>
      <c r="BB100" s="5">
        <v>0</v>
      </c>
      <c r="BC100" s="5">
        <v>0</v>
      </c>
      <c r="BD100" s="5">
        <v>0</v>
      </c>
      <c r="BE100" s="5">
        <v>0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5">
        <v>0</v>
      </c>
      <c r="BM100" s="5">
        <v>0</v>
      </c>
      <c r="BN100" s="5">
        <v>0</v>
      </c>
      <c r="BO100" s="5">
        <v>0</v>
      </c>
      <c r="BP100" s="5">
        <v>0</v>
      </c>
      <c r="BQ100" s="5">
        <v>0</v>
      </c>
      <c r="BR100" s="5">
        <v>0</v>
      </c>
      <c r="BS100" s="5">
        <v>0</v>
      </c>
      <c r="BT100" s="5">
        <v>0</v>
      </c>
      <c r="BU100" s="5">
        <v>0</v>
      </c>
      <c r="BV100" s="5">
        <v>0</v>
      </c>
      <c r="BW100" s="5">
        <v>0</v>
      </c>
      <c r="BX100" s="5">
        <v>0</v>
      </c>
      <c r="BY100" s="5">
        <v>0</v>
      </c>
      <c r="BZ100" s="5">
        <v>0</v>
      </c>
      <c r="CA100" s="5">
        <v>0</v>
      </c>
      <c r="CB100" s="5">
        <v>0</v>
      </c>
      <c r="CC100" s="5">
        <v>0</v>
      </c>
      <c r="CD100" s="5">
        <v>0</v>
      </c>
      <c r="CE100" s="5">
        <v>0</v>
      </c>
      <c r="CF100" s="5">
        <v>0</v>
      </c>
      <c r="CG100" s="5">
        <v>0</v>
      </c>
      <c r="CH100" s="5">
        <v>0</v>
      </c>
      <c r="CI100" s="5">
        <v>0</v>
      </c>
      <c r="CJ100" s="5">
        <v>0</v>
      </c>
      <c r="CK100" s="5">
        <v>0</v>
      </c>
      <c r="CL100" s="5">
        <v>0</v>
      </c>
      <c r="CM100" s="5">
        <v>0</v>
      </c>
      <c r="CN100" s="5">
        <v>0</v>
      </c>
      <c r="CO100" s="5">
        <v>0</v>
      </c>
      <c r="CP100" s="5">
        <v>0</v>
      </c>
      <c r="CQ100" s="5">
        <v>0</v>
      </c>
      <c r="CR100" s="5">
        <v>0</v>
      </c>
      <c r="CS100" s="5">
        <v>0</v>
      </c>
      <c r="CT100" s="5">
        <v>0</v>
      </c>
      <c r="CU100" s="5">
        <v>0</v>
      </c>
      <c r="CV100" s="5">
        <v>0</v>
      </c>
      <c r="CW100" s="5">
        <v>0</v>
      </c>
      <c r="CX100" s="5">
        <v>0</v>
      </c>
      <c r="CY100" s="5">
        <v>0</v>
      </c>
      <c r="CZ100" s="5">
        <v>0</v>
      </c>
      <c r="DA100" s="5">
        <v>0</v>
      </c>
      <c r="DB100" s="5">
        <v>0</v>
      </c>
      <c r="DC100" s="5">
        <v>0</v>
      </c>
      <c r="DD100" s="5">
        <v>0</v>
      </c>
      <c r="DE100" s="5">
        <v>0</v>
      </c>
      <c r="DF100" s="5">
        <v>0</v>
      </c>
      <c r="DG100" s="5">
        <v>0</v>
      </c>
      <c r="DH100" s="5">
        <v>0</v>
      </c>
      <c r="DI100" s="5">
        <v>0</v>
      </c>
      <c r="DJ100" s="5">
        <v>0</v>
      </c>
      <c r="DK100" s="6">
        <v>0</v>
      </c>
    </row>
    <row r="101" spans="1:115" x14ac:dyDescent="0.15">
      <c r="A101" s="4">
        <v>0</v>
      </c>
      <c r="B101" s="5">
        <v>0</v>
      </c>
      <c r="C101" s="5">
        <v>0</v>
      </c>
      <c r="D101" s="5">
        <v>0</v>
      </c>
      <c r="E101" s="5">
        <v>0</v>
      </c>
      <c r="F101" s="5">
        <v>0</v>
      </c>
      <c r="G101" s="5">
        <v>0</v>
      </c>
      <c r="H101" s="5">
        <v>0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0</v>
      </c>
      <c r="BA101" s="5">
        <v>0</v>
      </c>
      <c r="BB101" s="5">
        <v>0</v>
      </c>
      <c r="BC101" s="5">
        <v>0</v>
      </c>
      <c r="BD101" s="5">
        <v>0</v>
      </c>
      <c r="BE101" s="5">
        <v>0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5">
        <v>0</v>
      </c>
      <c r="BM101" s="5">
        <v>0</v>
      </c>
      <c r="BN101" s="5">
        <v>0</v>
      </c>
      <c r="BO101" s="5">
        <v>0</v>
      </c>
      <c r="BP101" s="5">
        <v>0</v>
      </c>
      <c r="BQ101" s="5">
        <v>0</v>
      </c>
      <c r="BR101" s="5">
        <v>0</v>
      </c>
      <c r="BS101" s="5">
        <v>0</v>
      </c>
      <c r="BT101" s="5">
        <v>0</v>
      </c>
      <c r="BU101" s="5">
        <v>0</v>
      </c>
      <c r="BV101" s="5">
        <v>0</v>
      </c>
      <c r="BW101" s="5">
        <v>0</v>
      </c>
      <c r="BX101" s="5">
        <v>0</v>
      </c>
      <c r="BY101" s="5">
        <v>0</v>
      </c>
      <c r="BZ101" s="5">
        <v>0</v>
      </c>
      <c r="CA101" s="5">
        <v>0</v>
      </c>
      <c r="CB101" s="5">
        <v>0</v>
      </c>
      <c r="CC101" s="5">
        <v>0</v>
      </c>
      <c r="CD101" s="5">
        <v>0</v>
      </c>
      <c r="CE101" s="5">
        <v>0</v>
      </c>
      <c r="CF101" s="5">
        <v>0</v>
      </c>
      <c r="CG101" s="5">
        <v>0</v>
      </c>
      <c r="CH101" s="5">
        <v>0</v>
      </c>
      <c r="CI101" s="5">
        <v>0</v>
      </c>
      <c r="CJ101" s="5">
        <v>0</v>
      </c>
      <c r="CK101" s="5">
        <v>0</v>
      </c>
      <c r="CL101" s="5">
        <v>0</v>
      </c>
      <c r="CM101" s="5">
        <v>0</v>
      </c>
      <c r="CN101" s="5">
        <v>0</v>
      </c>
      <c r="CO101" s="5">
        <v>0</v>
      </c>
      <c r="CP101" s="5">
        <v>0</v>
      </c>
      <c r="CQ101" s="5">
        <v>0</v>
      </c>
      <c r="CR101" s="5">
        <v>0</v>
      </c>
      <c r="CS101" s="5">
        <v>0</v>
      </c>
      <c r="CT101" s="5">
        <v>0</v>
      </c>
      <c r="CU101" s="5">
        <v>0</v>
      </c>
      <c r="CV101" s="5">
        <v>0</v>
      </c>
      <c r="CW101" s="5">
        <v>0</v>
      </c>
      <c r="CX101" s="5">
        <v>0</v>
      </c>
      <c r="CY101" s="5">
        <v>0</v>
      </c>
      <c r="CZ101" s="5">
        <v>0</v>
      </c>
      <c r="DA101" s="5">
        <v>0</v>
      </c>
      <c r="DB101" s="5">
        <v>0</v>
      </c>
      <c r="DC101" s="5">
        <v>0</v>
      </c>
      <c r="DD101" s="5">
        <v>0</v>
      </c>
      <c r="DE101" s="5">
        <v>0</v>
      </c>
      <c r="DF101" s="5">
        <v>0</v>
      </c>
      <c r="DG101" s="5">
        <v>0</v>
      </c>
      <c r="DH101" s="5">
        <v>0</v>
      </c>
      <c r="DI101" s="5">
        <v>0</v>
      </c>
      <c r="DJ101" s="5">
        <v>0</v>
      </c>
      <c r="DK101" s="6">
        <v>0</v>
      </c>
    </row>
    <row r="102" spans="1:115" x14ac:dyDescent="0.15">
      <c r="A102" s="4">
        <v>0</v>
      </c>
      <c r="B102" s="5">
        <v>0</v>
      </c>
      <c r="C102" s="5">
        <v>0</v>
      </c>
      <c r="D102" s="5">
        <v>0</v>
      </c>
      <c r="E102" s="5">
        <v>0</v>
      </c>
      <c r="F102" s="5">
        <v>0</v>
      </c>
      <c r="G102" s="5">
        <v>0</v>
      </c>
      <c r="H102" s="5">
        <v>0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Z102" s="5">
        <v>0</v>
      </c>
      <c r="AA102" s="5">
        <v>0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0</v>
      </c>
      <c r="BA102" s="5">
        <v>0</v>
      </c>
      <c r="BB102" s="5">
        <v>0</v>
      </c>
      <c r="BC102" s="5">
        <v>0</v>
      </c>
      <c r="BD102" s="5">
        <v>0</v>
      </c>
      <c r="BE102" s="5">
        <v>0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5">
        <v>0</v>
      </c>
      <c r="BM102" s="5">
        <v>0</v>
      </c>
      <c r="BN102" s="5">
        <v>0</v>
      </c>
      <c r="BO102" s="5">
        <v>0</v>
      </c>
      <c r="BP102" s="5">
        <v>0</v>
      </c>
      <c r="BQ102" s="5">
        <v>0</v>
      </c>
      <c r="BR102" s="5">
        <v>0</v>
      </c>
      <c r="BS102" s="5">
        <v>0</v>
      </c>
      <c r="BT102" s="5">
        <v>0</v>
      </c>
      <c r="BU102" s="5">
        <v>0</v>
      </c>
      <c r="BV102" s="5">
        <v>0</v>
      </c>
      <c r="BW102" s="5">
        <v>0</v>
      </c>
      <c r="BX102" s="5">
        <v>0</v>
      </c>
      <c r="BY102" s="5">
        <v>0</v>
      </c>
      <c r="BZ102" s="5">
        <v>0</v>
      </c>
      <c r="CA102" s="5">
        <v>0</v>
      </c>
      <c r="CB102" s="5">
        <v>0</v>
      </c>
      <c r="CC102" s="5">
        <v>0</v>
      </c>
      <c r="CD102" s="5">
        <v>0</v>
      </c>
      <c r="CE102" s="5">
        <v>0</v>
      </c>
      <c r="CF102" s="5">
        <v>0</v>
      </c>
      <c r="CG102" s="5">
        <v>0</v>
      </c>
      <c r="CH102" s="5">
        <v>0</v>
      </c>
      <c r="CI102" s="5">
        <v>0</v>
      </c>
      <c r="CJ102" s="5">
        <v>0</v>
      </c>
      <c r="CK102" s="5">
        <v>0</v>
      </c>
      <c r="CL102" s="5">
        <v>0</v>
      </c>
      <c r="CM102" s="5">
        <v>0</v>
      </c>
      <c r="CN102" s="5">
        <v>0</v>
      </c>
      <c r="CO102" s="5">
        <v>0</v>
      </c>
      <c r="CP102" s="5">
        <v>0</v>
      </c>
      <c r="CQ102" s="5">
        <v>0</v>
      </c>
      <c r="CR102" s="5">
        <v>0</v>
      </c>
      <c r="CS102" s="5">
        <v>0</v>
      </c>
      <c r="CT102" s="5">
        <v>0</v>
      </c>
      <c r="CU102" s="5">
        <v>0</v>
      </c>
      <c r="CV102" s="5">
        <v>0</v>
      </c>
      <c r="CW102" s="5">
        <v>0</v>
      </c>
      <c r="CX102" s="5">
        <v>0</v>
      </c>
      <c r="CY102" s="5">
        <v>0</v>
      </c>
      <c r="CZ102" s="5">
        <v>0</v>
      </c>
      <c r="DA102" s="5">
        <v>0</v>
      </c>
      <c r="DB102" s="5">
        <v>0</v>
      </c>
      <c r="DC102" s="5">
        <v>0</v>
      </c>
      <c r="DD102" s="5">
        <v>0</v>
      </c>
      <c r="DE102" s="5">
        <v>0</v>
      </c>
      <c r="DF102" s="5">
        <v>0</v>
      </c>
      <c r="DG102" s="5">
        <v>0</v>
      </c>
      <c r="DH102" s="5">
        <v>0</v>
      </c>
      <c r="DI102" s="5">
        <v>0</v>
      </c>
      <c r="DJ102" s="5">
        <v>0</v>
      </c>
      <c r="DK102" s="6">
        <v>0</v>
      </c>
    </row>
    <row r="103" spans="1:115" x14ac:dyDescent="0.15">
      <c r="A103" s="4">
        <v>0</v>
      </c>
      <c r="B103" s="5">
        <v>0</v>
      </c>
      <c r="C103" s="5">
        <v>0</v>
      </c>
      <c r="D103" s="5">
        <v>0</v>
      </c>
      <c r="E103" s="5">
        <v>0</v>
      </c>
      <c r="F103" s="5">
        <v>0</v>
      </c>
      <c r="G103" s="5">
        <v>0</v>
      </c>
      <c r="H103" s="5">
        <v>0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0</v>
      </c>
      <c r="BA103" s="5">
        <v>0</v>
      </c>
      <c r="BB103" s="5">
        <v>0</v>
      </c>
      <c r="BC103" s="5">
        <v>0</v>
      </c>
      <c r="BD103" s="5">
        <v>0</v>
      </c>
      <c r="BE103" s="5">
        <v>0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5">
        <v>0</v>
      </c>
      <c r="BM103" s="5">
        <v>0</v>
      </c>
      <c r="BN103" s="5">
        <v>0</v>
      </c>
      <c r="BO103" s="5">
        <v>0</v>
      </c>
      <c r="BP103" s="5">
        <v>0</v>
      </c>
      <c r="BQ103" s="5">
        <v>0</v>
      </c>
      <c r="BR103" s="5">
        <v>0</v>
      </c>
      <c r="BS103" s="5">
        <v>0</v>
      </c>
      <c r="BT103" s="5">
        <v>0</v>
      </c>
      <c r="BU103" s="5">
        <v>0</v>
      </c>
      <c r="BV103" s="5">
        <v>0</v>
      </c>
      <c r="BW103" s="5">
        <v>0</v>
      </c>
      <c r="BX103" s="5">
        <v>0</v>
      </c>
      <c r="BY103" s="5">
        <v>0</v>
      </c>
      <c r="BZ103" s="5">
        <v>0</v>
      </c>
      <c r="CA103" s="5">
        <v>0</v>
      </c>
      <c r="CB103" s="5">
        <v>0</v>
      </c>
      <c r="CC103" s="5">
        <v>0</v>
      </c>
      <c r="CD103" s="5">
        <v>0</v>
      </c>
      <c r="CE103" s="5">
        <v>0</v>
      </c>
      <c r="CF103" s="5">
        <v>0</v>
      </c>
      <c r="CG103" s="5">
        <v>0</v>
      </c>
      <c r="CH103" s="5">
        <v>0</v>
      </c>
      <c r="CI103" s="5">
        <v>0</v>
      </c>
      <c r="CJ103" s="5">
        <v>0</v>
      </c>
      <c r="CK103" s="5">
        <v>0</v>
      </c>
      <c r="CL103" s="5">
        <v>0</v>
      </c>
      <c r="CM103" s="5">
        <v>0</v>
      </c>
      <c r="CN103" s="5">
        <v>0</v>
      </c>
      <c r="CO103" s="5">
        <v>0</v>
      </c>
      <c r="CP103" s="5">
        <v>0</v>
      </c>
      <c r="CQ103" s="5">
        <v>0</v>
      </c>
      <c r="CR103" s="5">
        <v>0</v>
      </c>
      <c r="CS103" s="5">
        <v>0</v>
      </c>
      <c r="CT103" s="5">
        <v>0</v>
      </c>
      <c r="CU103" s="5">
        <v>0</v>
      </c>
      <c r="CV103" s="5">
        <v>0</v>
      </c>
      <c r="CW103" s="5">
        <v>0</v>
      </c>
      <c r="CX103" s="5">
        <v>0</v>
      </c>
      <c r="CY103" s="5">
        <v>0</v>
      </c>
      <c r="CZ103" s="5">
        <v>0</v>
      </c>
      <c r="DA103" s="5">
        <v>0</v>
      </c>
      <c r="DB103" s="5">
        <v>0</v>
      </c>
      <c r="DC103" s="5">
        <v>0</v>
      </c>
      <c r="DD103" s="5">
        <v>0</v>
      </c>
      <c r="DE103" s="5">
        <v>0</v>
      </c>
      <c r="DF103" s="5">
        <v>0</v>
      </c>
      <c r="DG103" s="5">
        <v>0</v>
      </c>
      <c r="DH103" s="5">
        <v>0</v>
      </c>
      <c r="DI103" s="5">
        <v>0</v>
      </c>
      <c r="DJ103" s="5">
        <v>0</v>
      </c>
      <c r="DK103" s="6">
        <v>0</v>
      </c>
    </row>
    <row r="104" spans="1:115" x14ac:dyDescent="0.15">
      <c r="A104" s="4">
        <v>0</v>
      </c>
      <c r="B104" s="5">
        <v>0</v>
      </c>
      <c r="C104" s="5">
        <v>0</v>
      </c>
      <c r="D104" s="5">
        <v>0</v>
      </c>
      <c r="E104" s="5">
        <v>0</v>
      </c>
      <c r="F104" s="5">
        <v>0</v>
      </c>
      <c r="G104" s="5">
        <v>0</v>
      </c>
      <c r="H104" s="5">
        <v>0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0</v>
      </c>
      <c r="BA104" s="5">
        <v>0</v>
      </c>
      <c r="BB104" s="5">
        <v>0</v>
      </c>
      <c r="BC104" s="5">
        <v>0</v>
      </c>
      <c r="BD104" s="5">
        <v>0</v>
      </c>
      <c r="BE104" s="5">
        <v>0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5">
        <v>0</v>
      </c>
      <c r="BM104" s="5">
        <v>0</v>
      </c>
      <c r="BN104" s="5">
        <v>0</v>
      </c>
      <c r="BO104" s="5">
        <v>0</v>
      </c>
      <c r="BP104" s="5">
        <v>0</v>
      </c>
      <c r="BQ104" s="5">
        <v>0</v>
      </c>
      <c r="BR104" s="5">
        <v>0</v>
      </c>
      <c r="BS104" s="5">
        <v>0</v>
      </c>
      <c r="BT104" s="5">
        <v>0</v>
      </c>
      <c r="BU104" s="5">
        <v>0</v>
      </c>
      <c r="BV104" s="5">
        <v>0</v>
      </c>
      <c r="BW104" s="5">
        <v>0</v>
      </c>
      <c r="BX104" s="5">
        <v>0</v>
      </c>
      <c r="BY104" s="5">
        <v>0</v>
      </c>
      <c r="BZ104" s="5">
        <v>0</v>
      </c>
      <c r="CA104" s="5">
        <v>0</v>
      </c>
      <c r="CB104" s="5">
        <v>0</v>
      </c>
      <c r="CC104" s="5">
        <v>0</v>
      </c>
      <c r="CD104" s="5">
        <v>0</v>
      </c>
      <c r="CE104" s="5">
        <v>0</v>
      </c>
      <c r="CF104" s="5">
        <v>0</v>
      </c>
      <c r="CG104" s="5">
        <v>0</v>
      </c>
      <c r="CH104" s="5">
        <v>0</v>
      </c>
      <c r="CI104" s="5">
        <v>0</v>
      </c>
      <c r="CJ104" s="5">
        <v>0</v>
      </c>
      <c r="CK104" s="5">
        <v>0</v>
      </c>
      <c r="CL104" s="5">
        <v>0</v>
      </c>
      <c r="CM104" s="5">
        <v>0</v>
      </c>
      <c r="CN104" s="5">
        <v>0</v>
      </c>
      <c r="CO104" s="5">
        <v>0</v>
      </c>
      <c r="CP104" s="5">
        <v>0</v>
      </c>
      <c r="CQ104" s="5">
        <v>0</v>
      </c>
      <c r="CR104" s="5">
        <v>0</v>
      </c>
      <c r="CS104" s="5">
        <v>0</v>
      </c>
      <c r="CT104" s="5">
        <v>0</v>
      </c>
      <c r="CU104" s="5">
        <v>0</v>
      </c>
      <c r="CV104" s="5">
        <v>0</v>
      </c>
      <c r="CW104" s="5">
        <v>0</v>
      </c>
      <c r="CX104" s="5">
        <v>0</v>
      </c>
      <c r="CY104" s="5">
        <v>0</v>
      </c>
      <c r="CZ104" s="5">
        <v>0</v>
      </c>
      <c r="DA104" s="5">
        <v>0</v>
      </c>
      <c r="DB104" s="5">
        <v>0</v>
      </c>
      <c r="DC104" s="5">
        <v>0</v>
      </c>
      <c r="DD104" s="5">
        <v>0</v>
      </c>
      <c r="DE104" s="5">
        <v>0</v>
      </c>
      <c r="DF104" s="5">
        <v>0</v>
      </c>
      <c r="DG104" s="5">
        <v>0</v>
      </c>
      <c r="DH104" s="5">
        <v>0</v>
      </c>
      <c r="DI104" s="5">
        <v>0</v>
      </c>
      <c r="DJ104" s="5">
        <v>0</v>
      </c>
      <c r="DK104" s="6">
        <v>0</v>
      </c>
    </row>
    <row r="105" spans="1:115" x14ac:dyDescent="0.15">
      <c r="A105" s="4">
        <v>0</v>
      </c>
      <c r="B105" s="5">
        <v>0</v>
      </c>
      <c r="C105" s="5">
        <v>0</v>
      </c>
      <c r="D105" s="5">
        <v>0</v>
      </c>
      <c r="E105" s="5">
        <v>0</v>
      </c>
      <c r="F105" s="5">
        <v>0</v>
      </c>
      <c r="G105" s="5">
        <v>0</v>
      </c>
      <c r="H105" s="5">
        <v>0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Z105" s="5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0</v>
      </c>
      <c r="BA105" s="5">
        <v>0</v>
      </c>
      <c r="BB105" s="5">
        <v>0</v>
      </c>
      <c r="BC105" s="5">
        <v>0</v>
      </c>
      <c r="BD105" s="5">
        <v>0</v>
      </c>
      <c r="BE105" s="5">
        <v>0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5">
        <v>0</v>
      </c>
      <c r="BM105" s="5">
        <v>0</v>
      </c>
      <c r="BN105" s="5">
        <v>0</v>
      </c>
      <c r="BO105" s="5">
        <v>0</v>
      </c>
      <c r="BP105" s="5">
        <v>0</v>
      </c>
      <c r="BQ105" s="5">
        <v>0</v>
      </c>
      <c r="BR105" s="5">
        <v>0</v>
      </c>
      <c r="BS105" s="5">
        <v>0</v>
      </c>
      <c r="BT105" s="5">
        <v>0</v>
      </c>
      <c r="BU105" s="5">
        <v>0</v>
      </c>
      <c r="BV105" s="5">
        <v>0</v>
      </c>
      <c r="BW105" s="5">
        <v>0</v>
      </c>
      <c r="BX105" s="5">
        <v>0</v>
      </c>
      <c r="BY105" s="5">
        <v>0</v>
      </c>
      <c r="BZ105" s="5">
        <v>0</v>
      </c>
      <c r="CA105" s="5">
        <v>0</v>
      </c>
      <c r="CB105" s="5">
        <v>0</v>
      </c>
      <c r="CC105" s="5">
        <v>0</v>
      </c>
      <c r="CD105" s="5">
        <v>0</v>
      </c>
      <c r="CE105" s="5">
        <v>0</v>
      </c>
      <c r="CF105" s="5">
        <v>0</v>
      </c>
      <c r="CG105" s="5">
        <v>0</v>
      </c>
      <c r="CH105" s="5">
        <v>0</v>
      </c>
      <c r="CI105" s="5">
        <v>0</v>
      </c>
      <c r="CJ105" s="5">
        <v>0</v>
      </c>
      <c r="CK105" s="5">
        <v>0</v>
      </c>
      <c r="CL105" s="5">
        <v>0</v>
      </c>
      <c r="CM105" s="5">
        <v>0</v>
      </c>
      <c r="CN105" s="5">
        <v>0</v>
      </c>
      <c r="CO105" s="5">
        <v>0</v>
      </c>
      <c r="CP105" s="5">
        <v>0</v>
      </c>
      <c r="CQ105" s="5">
        <v>0</v>
      </c>
      <c r="CR105" s="5">
        <v>0</v>
      </c>
      <c r="CS105" s="5">
        <v>0</v>
      </c>
      <c r="CT105" s="5">
        <v>0</v>
      </c>
      <c r="CU105" s="5">
        <v>0</v>
      </c>
      <c r="CV105" s="5">
        <v>0</v>
      </c>
      <c r="CW105" s="5">
        <v>0</v>
      </c>
      <c r="CX105" s="5">
        <v>0</v>
      </c>
      <c r="CY105" s="5">
        <v>0</v>
      </c>
      <c r="CZ105" s="5">
        <v>0</v>
      </c>
      <c r="DA105" s="5">
        <v>0</v>
      </c>
      <c r="DB105" s="5">
        <v>0</v>
      </c>
      <c r="DC105" s="5">
        <v>0</v>
      </c>
      <c r="DD105" s="5">
        <v>0</v>
      </c>
      <c r="DE105" s="5">
        <v>0</v>
      </c>
      <c r="DF105" s="5">
        <v>0</v>
      </c>
      <c r="DG105" s="5">
        <v>0</v>
      </c>
      <c r="DH105" s="5">
        <v>0</v>
      </c>
      <c r="DI105" s="5">
        <v>0</v>
      </c>
      <c r="DJ105" s="5">
        <v>0</v>
      </c>
      <c r="DK105" s="6">
        <v>0</v>
      </c>
    </row>
    <row r="106" spans="1:115" x14ac:dyDescent="0.15">
      <c r="A106" s="4">
        <v>0</v>
      </c>
      <c r="B106" s="5">
        <v>0</v>
      </c>
      <c r="C106" s="5">
        <v>0</v>
      </c>
      <c r="D106" s="5">
        <v>0</v>
      </c>
      <c r="E106" s="5">
        <v>0</v>
      </c>
      <c r="F106" s="5">
        <v>0</v>
      </c>
      <c r="G106" s="5">
        <v>0</v>
      </c>
      <c r="H106" s="5">
        <v>0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Z106" s="5">
        <v>0</v>
      </c>
      <c r="AA106" s="5">
        <v>0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0</v>
      </c>
      <c r="BA106" s="5">
        <v>0</v>
      </c>
      <c r="BB106" s="5">
        <v>0</v>
      </c>
      <c r="BC106" s="5">
        <v>0</v>
      </c>
      <c r="BD106" s="5">
        <v>0</v>
      </c>
      <c r="BE106" s="5">
        <v>0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5">
        <v>0</v>
      </c>
      <c r="BM106" s="5">
        <v>0</v>
      </c>
      <c r="BN106" s="5">
        <v>0</v>
      </c>
      <c r="BO106" s="5">
        <v>0</v>
      </c>
      <c r="BP106" s="5">
        <v>0</v>
      </c>
      <c r="BQ106" s="5">
        <v>0</v>
      </c>
      <c r="BR106" s="5">
        <v>0</v>
      </c>
      <c r="BS106" s="5">
        <v>0</v>
      </c>
      <c r="BT106" s="5">
        <v>0</v>
      </c>
      <c r="BU106" s="5">
        <v>0</v>
      </c>
      <c r="BV106" s="5">
        <v>0</v>
      </c>
      <c r="BW106" s="5">
        <v>0</v>
      </c>
      <c r="BX106" s="5">
        <v>0</v>
      </c>
      <c r="BY106" s="5">
        <v>0</v>
      </c>
      <c r="BZ106" s="5">
        <v>0</v>
      </c>
      <c r="CA106" s="5">
        <v>0</v>
      </c>
      <c r="CB106" s="5">
        <v>0</v>
      </c>
      <c r="CC106" s="5">
        <v>0</v>
      </c>
      <c r="CD106" s="5">
        <v>0</v>
      </c>
      <c r="CE106" s="5">
        <v>0</v>
      </c>
      <c r="CF106" s="5">
        <v>0</v>
      </c>
      <c r="CG106" s="5">
        <v>0</v>
      </c>
      <c r="CH106" s="5">
        <v>0</v>
      </c>
      <c r="CI106" s="5">
        <v>0</v>
      </c>
      <c r="CJ106" s="5">
        <v>0</v>
      </c>
      <c r="CK106" s="5">
        <v>0</v>
      </c>
      <c r="CL106" s="5">
        <v>0</v>
      </c>
      <c r="CM106" s="5">
        <v>0</v>
      </c>
      <c r="CN106" s="5">
        <v>0</v>
      </c>
      <c r="CO106" s="5">
        <v>0</v>
      </c>
      <c r="CP106" s="5">
        <v>0</v>
      </c>
      <c r="CQ106" s="5">
        <v>0</v>
      </c>
      <c r="CR106" s="5">
        <v>0</v>
      </c>
      <c r="CS106" s="5">
        <v>0</v>
      </c>
      <c r="CT106" s="5">
        <v>0</v>
      </c>
      <c r="CU106" s="5">
        <v>0</v>
      </c>
      <c r="CV106" s="5">
        <v>0</v>
      </c>
      <c r="CW106" s="5">
        <v>0</v>
      </c>
      <c r="CX106" s="5">
        <v>0</v>
      </c>
      <c r="CY106" s="5">
        <v>0</v>
      </c>
      <c r="CZ106" s="5">
        <v>0</v>
      </c>
      <c r="DA106" s="5">
        <v>0</v>
      </c>
      <c r="DB106" s="5">
        <v>0</v>
      </c>
      <c r="DC106" s="5">
        <v>0</v>
      </c>
      <c r="DD106" s="5">
        <v>0</v>
      </c>
      <c r="DE106" s="5">
        <v>0</v>
      </c>
      <c r="DF106" s="5">
        <v>0</v>
      </c>
      <c r="DG106" s="5">
        <v>0</v>
      </c>
      <c r="DH106" s="5">
        <v>0</v>
      </c>
      <c r="DI106" s="5">
        <v>0</v>
      </c>
      <c r="DJ106" s="5">
        <v>0</v>
      </c>
      <c r="DK106" s="6">
        <v>0</v>
      </c>
    </row>
    <row r="107" spans="1:115" x14ac:dyDescent="0.15">
      <c r="A107" s="4">
        <v>0</v>
      </c>
      <c r="B107" s="5">
        <v>0</v>
      </c>
      <c r="C107" s="5">
        <v>0</v>
      </c>
      <c r="D107" s="5">
        <v>0</v>
      </c>
      <c r="E107" s="5">
        <v>0</v>
      </c>
      <c r="F107" s="5">
        <v>0</v>
      </c>
      <c r="G107" s="5">
        <v>0</v>
      </c>
      <c r="H107" s="5">
        <v>0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Z107" s="5">
        <v>0</v>
      </c>
      <c r="AA107" s="5">
        <v>0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0</v>
      </c>
      <c r="BA107" s="5">
        <v>0</v>
      </c>
      <c r="BB107" s="5">
        <v>0</v>
      </c>
      <c r="BC107" s="5">
        <v>0</v>
      </c>
      <c r="BD107" s="5">
        <v>0</v>
      </c>
      <c r="BE107" s="5">
        <v>0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5">
        <v>0</v>
      </c>
      <c r="BM107" s="5">
        <v>0</v>
      </c>
      <c r="BN107" s="5">
        <v>0</v>
      </c>
      <c r="BO107" s="5">
        <v>0</v>
      </c>
      <c r="BP107" s="5">
        <v>0</v>
      </c>
      <c r="BQ107" s="5">
        <v>0</v>
      </c>
      <c r="BR107" s="5">
        <v>0</v>
      </c>
      <c r="BS107" s="5">
        <v>0</v>
      </c>
      <c r="BT107" s="5">
        <v>0</v>
      </c>
      <c r="BU107" s="5">
        <v>0</v>
      </c>
      <c r="BV107" s="5">
        <v>0</v>
      </c>
      <c r="BW107" s="5">
        <v>0</v>
      </c>
      <c r="BX107" s="5">
        <v>0</v>
      </c>
      <c r="BY107" s="5">
        <v>0</v>
      </c>
      <c r="BZ107" s="5">
        <v>0</v>
      </c>
      <c r="CA107" s="5">
        <v>0</v>
      </c>
      <c r="CB107" s="5">
        <v>0</v>
      </c>
      <c r="CC107" s="5">
        <v>0</v>
      </c>
      <c r="CD107" s="5">
        <v>0</v>
      </c>
      <c r="CE107" s="5">
        <v>0</v>
      </c>
      <c r="CF107" s="5">
        <v>0</v>
      </c>
      <c r="CG107" s="5">
        <v>0</v>
      </c>
      <c r="CH107" s="5">
        <v>0</v>
      </c>
      <c r="CI107" s="5">
        <v>0</v>
      </c>
      <c r="CJ107" s="5">
        <v>0</v>
      </c>
      <c r="CK107" s="5">
        <v>0</v>
      </c>
      <c r="CL107" s="5">
        <v>0</v>
      </c>
      <c r="CM107" s="5">
        <v>0</v>
      </c>
      <c r="CN107" s="5">
        <v>0</v>
      </c>
      <c r="CO107" s="5">
        <v>0</v>
      </c>
      <c r="CP107" s="5">
        <v>0</v>
      </c>
      <c r="CQ107" s="5">
        <v>0</v>
      </c>
      <c r="CR107" s="5">
        <v>0</v>
      </c>
      <c r="CS107" s="5">
        <v>0</v>
      </c>
      <c r="CT107" s="5">
        <v>0</v>
      </c>
      <c r="CU107" s="5">
        <v>0</v>
      </c>
      <c r="CV107" s="5">
        <v>0</v>
      </c>
      <c r="CW107" s="5">
        <v>0</v>
      </c>
      <c r="CX107" s="5">
        <v>0</v>
      </c>
      <c r="CY107" s="5">
        <v>0</v>
      </c>
      <c r="CZ107" s="5">
        <v>0</v>
      </c>
      <c r="DA107" s="5">
        <v>0</v>
      </c>
      <c r="DB107" s="5">
        <v>0</v>
      </c>
      <c r="DC107" s="5">
        <v>0</v>
      </c>
      <c r="DD107" s="5">
        <v>0</v>
      </c>
      <c r="DE107" s="5">
        <v>0</v>
      </c>
      <c r="DF107" s="5">
        <v>0</v>
      </c>
      <c r="DG107" s="5">
        <v>0</v>
      </c>
      <c r="DH107" s="5">
        <v>0</v>
      </c>
      <c r="DI107" s="5">
        <v>0</v>
      </c>
      <c r="DJ107" s="5">
        <v>0</v>
      </c>
      <c r="DK107" s="6">
        <v>0</v>
      </c>
    </row>
    <row r="108" spans="1:115" x14ac:dyDescent="0.15">
      <c r="A108" s="4">
        <v>0</v>
      </c>
      <c r="B108" s="5">
        <v>0</v>
      </c>
      <c r="C108" s="5">
        <v>0</v>
      </c>
      <c r="D108" s="5">
        <v>0</v>
      </c>
      <c r="E108" s="5">
        <v>0</v>
      </c>
      <c r="F108" s="5">
        <v>0</v>
      </c>
      <c r="G108" s="5">
        <v>0</v>
      </c>
      <c r="H108" s="5">
        <v>0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Z108" s="5">
        <v>0</v>
      </c>
      <c r="AA108" s="5">
        <v>0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0</v>
      </c>
      <c r="BA108" s="5">
        <v>0</v>
      </c>
      <c r="BB108" s="5">
        <v>0</v>
      </c>
      <c r="BC108" s="5">
        <v>0</v>
      </c>
      <c r="BD108" s="5">
        <v>0</v>
      </c>
      <c r="BE108" s="5">
        <v>0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5">
        <v>0</v>
      </c>
      <c r="BM108" s="5">
        <v>0</v>
      </c>
      <c r="BN108" s="5">
        <v>0</v>
      </c>
      <c r="BO108" s="5">
        <v>0</v>
      </c>
      <c r="BP108" s="5">
        <v>0</v>
      </c>
      <c r="BQ108" s="5">
        <v>0</v>
      </c>
      <c r="BR108" s="5">
        <v>0</v>
      </c>
      <c r="BS108" s="5">
        <v>0</v>
      </c>
      <c r="BT108" s="5">
        <v>0</v>
      </c>
      <c r="BU108" s="5">
        <v>0</v>
      </c>
      <c r="BV108" s="5">
        <v>0</v>
      </c>
      <c r="BW108" s="5">
        <v>0</v>
      </c>
      <c r="BX108" s="5">
        <v>0</v>
      </c>
      <c r="BY108" s="5">
        <v>0</v>
      </c>
      <c r="BZ108" s="5">
        <v>0</v>
      </c>
      <c r="CA108" s="5">
        <v>0</v>
      </c>
      <c r="CB108" s="5">
        <v>0</v>
      </c>
      <c r="CC108" s="5">
        <v>0</v>
      </c>
      <c r="CD108" s="5">
        <v>0</v>
      </c>
      <c r="CE108" s="5">
        <v>0</v>
      </c>
      <c r="CF108" s="5">
        <v>0</v>
      </c>
      <c r="CG108" s="5">
        <v>0</v>
      </c>
      <c r="CH108" s="5">
        <v>0</v>
      </c>
      <c r="CI108" s="5">
        <v>0</v>
      </c>
      <c r="CJ108" s="5">
        <v>0</v>
      </c>
      <c r="CK108" s="5">
        <v>0</v>
      </c>
      <c r="CL108" s="5">
        <v>0</v>
      </c>
      <c r="CM108" s="5">
        <v>0</v>
      </c>
      <c r="CN108" s="5">
        <v>0</v>
      </c>
      <c r="CO108" s="5">
        <v>0</v>
      </c>
      <c r="CP108" s="5">
        <v>0</v>
      </c>
      <c r="CQ108" s="5">
        <v>0</v>
      </c>
      <c r="CR108" s="5">
        <v>0</v>
      </c>
      <c r="CS108" s="5">
        <v>0</v>
      </c>
      <c r="CT108" s="5">
        <v>0</v>
      </c>
      <c r="CU108" s="5">
        <v>0</v>
      </c>
      <c r="CV108" s="5">
        <v>0</v>
      </c>
      <c r="CW108" s="5">
        <v>0</v>
      </c>
      <c r="CX108" s="5">
        <v>0</v>
      </c>
      <c r="CY108" s="5">
        <v>0</v>
      </c>
      <c r="CZ108" s="5">
        <v>0</v>
      </c>
      <c r="DA108" s="5">
        <v>0</v>
      </c>
      <c r="DB108" s="5">
        <v>0</v>
      </c>
      <c r="DC108" s="5">
        <v>0</v>
      </c>
      <c r="DD108" s="5">
        <v>0</v>
      </c>
      <c r="DE108" s="5">
        <v>0</v>
      </c>
      <c r="DF108" s="5">
        <v>0</v>
      </c>
      <c r="DG108" s="5">
        <v>0</v>
      </c>
      <c r="DH108" s="5">
        <v>0</v>
      </c>
      <c r="DI108" s="5">
        <v>0</v>
      </c>
      <c r="DJ108" s="5">
        <v>0</v>
      </c>
      <c r="DK108" s="6">
        <v>0</v>
      </c>
    </row>
    <row r="109" spans="1:115" x14ac:dyDescent="0.15">
      <c r="A109" s="4">
        <v>0</v>
      </c>
      <c r="B109" s="5">
        <v>0</v>
      </c>
      <c r="C109" s="5">
        <v>0</v>
      </c>
      <c r="D109" s="5">
        <v>0</v>
      </c>
      <c r="E109" s="5">
        <v>0</v>
      </c>
      <c r="F109" s="5">
        <v>0</v>
      </c>
      <c r="G109" s="5">
        <v>0</v>
      </c>
      <c r="H109" s="5">
        <v>0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Z109" s="5">
        <v>0</v>
      </c>
      <c r="AA109" s="5">
        <v>0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0</v>
      </c>
      <c r="BA109" s="5">
        <v>0</v>
      </c>
      <c r="BB109" s="5">
        <v>0</v>
      </c>
      <c r="BC109" s="5">
        <v>0</v>
      </c>
      <c r="BD109" s="5">
        <v>0</v>
      </c>
      <c r="BE109" s="5">
        <v>0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5">
        <v>0</v>
      </c>
      <c r="BM109" s="5">
        <v>0</v>
      </c>
      <c r="BN109" s="5">
        <v>0</v>
      </c>
      <c r="BO109" s="5">
        <v>0</v>
      </c>
      <c r="BP109" s="5">
        <v>0</v>
      </c>
      <c r="BQ109" s="5">
        <v>0</v>
      </c>
      <c r="BR109" s="5">
        <v>0</v>
      </c>
      <c r="BS109" s="5">
        <v>0</v>
      </c>
      <c r="BT109" s="5">
        <v>0</v>
      </c>
      <c r="BU109" s="5">
        <v>0</v>
      </c>
      <c r="BV109" s="5">
        <v>0</v>
      </c>
      <c r="BW109" s="5">
        <v>0</v>
      </c>
      <c r="BX109" s="5">
        <v>0</v>
      </c>
      <c r="BY109" s="5">
        <v>0</v>
      </c>
      <c r="BZ109" s="5">
        <v>0</v>
      </c>
      <c r="CA109" s="5">
        <v>0</v>
      </c>
      <c r="CB109" s="5">
        <v>0</v>
      </c>
      <c r="CC109" s="5">
        <v>0</v>
      </c>
      <c r="CD109" s="5">
        <v>0</v>
      </c>
      <c r="CE109" s="5">
        <v>0</v>
      </c>
      <c r="CF109" s="5">
        <v>0</v>
      </c>
      <c r="CG109" s="5">
        <v>0</v>
      </c>
      <c r="CH109" s="5">
        <v>0</v>
      </c>
      <c r="CI109" s="5">
        <v>0</v>
      </c>
      <c r="CJ109" s="5">
        <v>0</v>
      </c>
      <c r="CK109" s="5">
        <v>0</v>
      </c>
      <c r="CL109" s="5">
        <v>0</v>
      </c>
      <c r="CM109" s="5">
        <v>0</v>
      </c>
      <c r="CN109" s="5">
        <v>0</v>
      </c>
      <c r="CO109" s="5">
        <v>0</v>
      </c>
      <c r="CP109" s="5">
        <v>0</v>
      </c>
      <c r="CQ109" s="5">
        <v>0</v>
      </c>
      <c r="CR109" s="5">
        <v>0</v>
      </c>
      <c r="CS109" s="5">
        <v>0</v>
      </c>
      <c r="CT109" s="5">
        <v>0</v>
      </c>
      <c r="CU109" s="5">
        <v>0</v>
      </c>
      <c r="CV109" s="5">
        <v>0</v>
      </c>
      <c r="CW109" s="5">
        <v>0</v>
      </c>
      <c r="CX109" s="5">
        <v>0</v>
      </c>
      <c r="CY109" s="5">
        <v>0</v>
      </c>
      <c r="CZ109" s="5">
        <v>0</v>
      </c>
      <c r="DA109" s="5">
        <v>0</v>
      </c>
      <c r="DB109" s="5">
        <v>0</v>
      </c>
      <c r="DC109" s="5">
        <v>0</v>
      </c>
      <c r="DD109" s="5">
        <v>0</v>
      </c>
      <c r="DE109" s="5">
        <v>0</v>
      </c>
      <c r="DF109" s="5">
        <v>0</v>
      </c>
      <c r="DG109" s="5">
        <v>0</v>
      </c>
      <c r="DH109" s="5">
        <v>0</v>
      </c>
      <c r="DI109" s="5">
        <v>0</v>
      </c>
      <c r="DJ109" s="5">
        <v>0</v>
      </c>
      <c r="DK109" s="6">
        <v>0</v>
      </c>
    </row>
    <row r="110" spans="1:115" x14ac:dyDescent="0.15">
      <c r="A110" s="4">
        <v>0</v>
      </c>
      <c r="B110" s="5">
        <v>0</v>
      </c>
      <c r="C110" s="5">
        <v>0</v>
      </c>
      <c r="D110" s="5">
        <v>0</v>
      </c>
      <c r="E110" s="5">
        <v>0</v>
      </c>
      <c r="F110" s="5">
        <v>0</v>
      </c>
      <c r="G110" s="5">
        <v>0</v>
      </c>
      <c r="H110" s="5">
        <v>0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Z110" s="5">
        <v>0</v>
      </c>
      <c r="AA110" s="5">
        <v>0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0</v>
      </c>
      <c r="BA110" s="5">
        <v>0</v>
      </c>
      <c r="BB110" s="5">
        <v>0</v>
      </c>
      <c r="BC110" s="5">
        <v>0</v>
      </c>
      <c r="BD110" s="5">
        <v>0</v>
      </c>
      <c r="BE110" s="5">
        <v>0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5">
        <v>0</v>
      </c>
      <c r="BM110" s="5">
        <v>0</v>
      </c>
      <c r="BN110" s="5">
        <v>0</v>
      </c>
      <c r="BO110" s="5">
        <v>0</v>
      </c>
      <c r="BP110" s="5">
        <v>0</v>
      </c>
      <c r="BQ110" s="5">
        <v>0</v>
      </c>
      <c r="BR110" s="5">
        <v>0</v>
      </c>
      <c r="BS110" s="5">
        <v>0</v>
      </c>
      <c r="BT110" s="5">
        <v>0</v>
      </c>
      <c r="BU110" s="5">
        <v>0</v>
      </c>
      <c r="BV110" s="5">
        <v>0</v>
      </c>
      <c r="BW110" s="5">
        <v>0</v>
      </c>
      <c r="BX110" s="5">
        <v>0</v>
      </c>
      <c r="BY110" s="5">
        <v>0</v>
      </c>
      <c r="BZ110" s="5">
        <v>0</v>
      </c>
      <c r="CA110" s="5">
        <v>0</v>
      </c>
      <c r="CB110" s="5">
        <v>0</v>
      </c>
      <c r="CC110" s="5">
        <v>0</v>
      </c>
      <c r="CD110" s="5">
        <v>0</v>
      </c>
      <c r="CE110" s="5">
        <v>0</v>
      </c>
      <c r="CF110" s="5">
        <v>0</v>
      </c>
      <c r="CG110" s="5">
        <v>0</v>
      </c>
      <c r="CH110" s="5">
        <v>0</v>
      </c>
      <c r="CI110" s="5">
        <v>0</v>
      </c>
      <c r="CJ110" s="5">
        <v>0</v>
      </c>
      <c r="CK110" s="5">
        <v>0</v>
      </c>
      <c r="CL110" s="5">
        <v>0</v>
      </c>
      <c r="CM110" s="5">
        <v>0</v>
      </c>
      <c r="CN110" s="5">
        <v>0</v>
      </c>
      <c r="CO110" s="5">
        <v>0</v>
      </c>
      <c r="CP110" s="5">
        <v>0</v>
      </c>
      <c r="CQ110" s="5">
        <v>0</v>
      </c>
      <c r="CR110" s="5">
        <v>0</v>
      </c>
      <c r="CS110" s="5">
        <v>0</v>
      </c>
      <c r="CT110" s="5">
        <v>0</v>
      </c>
      <c r="CU110" s="5">
        <v>0</v>
      </c>
      <c r="CV110" s="5">
        <v>0</v>
      </c>
      <c r="CW110" s="5">
        <v>0</v>
      </c>
      <c r="CX110" s="5">
        <v>0</v>
      </c>
      <c r="CY110" s="5">
        <v>0</v>
      </c>
      <c r="CZ110" s="5">
        <v>0</v>
      </c>
      <c r="DA110" s="5">
        <v>0</v>
      </c>
      <c r="DB110" s="5">
        <v>0</v>
      </c>
      <c r="DC110" s="5">
        <v>0</v>
      </c>
      <c r="DD110" s="5">
        <v>0</v>
      </c>
      <c r="DE110" s="5">
        <v>0</v>
      </c>
      <c r="DF110" s="5">
        <v>0</v>
      </c>
      <c r="DG110" s="5">
        <v>0</v>
      </c>
      <c r="DH110" s="5">
        <v>0</v>
      </c>
      <c r="DI110" s="5">
        <v>0</v>
      </c>
      <c r="DJ110" s="5">
        <v>0</v>
      </c>
      <c r="DK110" s="6">
        <v>0</v>
      </c>
    </row>
    <row r="111" spans="1:115" x14ac:dyDescent="0.15">
      <c r="A111" s="4">
        <v>0</v>
      </c>
      <c r="B111" s="5">
        <v>0</v>
      </c>
      <c r="C111" s="5">
        <v>0</v>
      </c>
      <c r="D111" s="5">
        <v>0</v>
      </c>
      <c r="E111" s="5">
        <v>0</v>
      </c>
      <c r="F111" s="5">
        <v>0</v>
      </c>
      <c r="G111" s="5">
        <v>0</v>
      </c>
      <c r="H111" s="5">
        <v>0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Z111" s="5">
        <v>0</v>
      </c>
      <c r="AA111" s="5">
        <v>0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0</v>
      </c>
      <c r="AO111" s="5">
        <v>0</v>
      </c>
      <c r="AP111" s="5">
        <v>0</v>
      </c>
      <c r="AQ111" s="5">
        <v>0</v>
      </c>
      <c r="AR111" s="5">
        <v>0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0</v>
      </c>
      <c r="BA111" s="5">
        <v>0</v>
      </c>
      <c r="BB111" s="5">
        <v>0</v>
      </c>
      <c r="BC111" s="5">
        <v>0</v>
      </c>
      <c r="BD111" s="5">
        <v>0</v>
      </c>
      <c r="BE111" s="5">
        <v>0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5">
        <v>0</v>
      </c>
      <c r="BM111" s="5">
        <v>0</v>
      </c>
      <c r="BN111" s="5">
        <v>0</v>
      </c>
      <c r="BO111" s="5">
        <v>0</v>
      </c>
      <c r="BP111" s="5">
        <v>0</v>
      </c>
      <c r="BQ111" s="5">
        <v>0</v>
      </c>
      <c r="BR111" s="5">
        <v>0</v>
      </c>
      <c r="BS111" s="5">
        <v>0</v>
      </c>
      <c r="BT111" s="5">
        <v>0</v>
      </c>
      <c r="BU111" s="5">
        <v>0</v>
      </c>
      <c r="BV111" s="5">
        <v>0</v>
      </c>
      <c r="BW111" s="5">
        <v>0</v>
      </c>
      <c r="BX111" s="5">
        <v>0</v>
      </c>
      <c r="BY111" s="5">
        <v>0</v>
      </c>
      <c r="BZ111" s="5">
        <v>0</v>
      </c>
      <c r="CA111" s="5">
        <v>0</v>
      </c>
      <c r="CB111" s="5">
        <v>0</v>
      </c>
      <c r="CC111" s="5">
        <v>0</v>
      </c>
      <c r="CD111" s="5">
        <v>0</v>
      </c>
      <c r="CE111" s="5">
        <v>0</v>
      </c>
      <c r="CF111" s="5">
        <v>0</v>
      </c>
      <c r="CG111" s="5">
        <v>0</v>
      </c>
      <c r="CH111" s="5">
        <v>0</v>
      </c>
      <c r="CI111" s="5">
        <v>0</v>
      </c>
      <c r="CJ111" s="5">
        <v>0</v>
      </c>
      <c r="CK111" s="5">
        <v>0</v>
      </c>
      <c r="CL111" s="5">
        <v>0</v>
      </c>
      <c r="CM111" s="5">
        <v>0</v>
      </c>
      <c r="CN111" s="5">
        <v>0</v>
      </c>
      <c r="CO111" s="5">
        <v>0</v>
      </c>
      <c r="CP111" s="5">
        <v>0</v>
      </c>
      <c r="CQ111" s="5">
        <v>0</v>
      </c>
      <c r="CR111" s="5">
        <v>0</v>
      </c>
      <c r="CS111" s="5">
        <v>0</v>
      </c>
      <c r="CT111" s="5">
        <v>0</v>
      </c>
      <c r="CU111" s="5">
        <v>0</v>
      </c>
      <c r="CV111" s="5">
        <v>0</v>
      </c>
      <c r="CW111" s="5">
        <v>0</v>
      </c>
      <c r="CX111" s="5">
        <v>0</v>
      </c>
      <c r="CY111" s="5">
        <v>0</v>
      </c>
      <c r="CZ111" s="5">
        <v>0</v>
      </c>
      <c r="DA111" s="5">
        <v>0</v>
      </c>
      <c r="DB111" s="5">
        <v>0</v>
      </c>
      <c r="DC111" s="5">
        <v>0</v>
      </c>
      <c r="DD111" s="5">
        <v>0</v>
      </c>
      <c r="DE111" s="5">
        <v>0</v>
      </c>
      <c r="DF111" s="5">
        <v>0</v>
      </c>
      <c r="DG111" s="5">
        <v>0</v>
      </c>
      <c r="DH111" s="5">
        <v>0</v>
      </c>
      <c r="DI111" s="5">
        <v>0</v>
      </c>
      <c r="DJ111" s="5">
        <v>0</v>
      </c>
      <c r="DK111" s="6">
        <v>0</v>
      </c>
    </row>
    <row r="112" spans="1:115" x14ac:dyDescent="0.15">
      <c r="A112" s="4">
        <v>0</v>
      </c>
      <c r="B112" s="5">
        <v>0</v>
      </c>
      <c r="C112" s="5">
        <v>0</v>
      </c>
      <c r="D112" s="5">
        <v>0</v>
      </c>
      <c r="E112" s="5">
        <v>0</v>
      </c>
      <c r="F112" s="5">
        <v>0</v>
      </c>
      <c r="G112" s="5">
        <v>0</v>
      </c>
      <c r="H112" s="5">
        <v>0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Z112" s="5">
        <v>0</v>
      </c>
      <c r="AA112" s="5">
        <v>0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0</v>
      </c>
      <c r="AO112" s="5">
        <v>0</v>
      </c>
      <c r="AP112" s="5">
        <v>0</v>
      </c>
      <c r="AQ112" s="5">
        <v>0</v>
      </c>
      <c r="AR112" s="5">
        <v>0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 s="5">
        <v>0</v>
      </c>
      <c r="AY112" s="5">
        <v>0</v>
      </c>
      <c r="AZ112" s="5">
        <v>0</v>
      </c>
      <c r="BA112" s="5">
        <v>0</v>
      </c>
      <c r="BB112" s="5">
        <v>0</v>
      </c>
      <c r="BC112" s="5">
        <v>0</v>
      </c>
      <c r="BD112" s="5">
        <v>0</v>
      </c>
      <c r="BE112" s="5">
        <v>0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5">
        <v>0</v>
      </c>
      <c r="BM112" s="5">
        <v>0</v>
      </c>
      <c r="BN112" s="5">
        <v>0</v>
      </c>
      <c r="BO112" s="5">
        <v>0</v>
      </c>
      <c r="BP112" s="5">
        <v>0</v>
      </c>
      <c r="BQ112" s="5">
        <v>0</v>
      </c>
      <c r="BR112" s="5">
        <v>0</v>
      </c>
      <c r="BS112" s="5">
        <v>0</v>
      </c>
      <c r="BT112" s="5">
        <v>0</v>
      </c>
      <c r="BU112" s="5">
        <v>0</v>
      </c>
      <c r="BV112" s="5">
        <v>0</v>
      </c>
      <c r="BW112" s="5">
        <v>0</v>
      </c>
      <c r="BX112" s="5">
        <v>0</v>
      </c>
      <c r="BY112" s="5">
        <v>0</v>
      </c>
      <c r="BZ112" s="5">
        <v>0</v>
      </c>
      <c r="CA112" s="5">
        <v>0</v>
      </c>
      <c r="CB112" s="5">
        <v>0</v>
      </c>
      <c r="CC112" s="5">
        <v>0</v>
      </c>
      <c r="CD112" s="5">
        <v>0</v>
      </c>
      <c r="CE112" s="5">
        <v>0</v>
      </c>
      <c r="CF112" s="5">
        <v>0</v>
      </c>
      <c r="CG112" s="5">
        <v>0</v>
      </c>
      <c r="CH112" s="5">
        <v>0</v>
      </c>
      <c r="CI112" s="5">
        <v>0</v>
      </c>
      <c r="CJ112" s="5">
        <v>0</v>
      </c>
      <c r="CK112" s="5">
        <v>0</v>
      </c>
      <c r="CL112" s="5">
        <v>0</v>
      </c>
      <c r="CM112" s="5">
        <v>0</v>
      </c>
      <c r="CN112" s="5">
        <v>0</v>
      </c>
      <c r="CO112" s="5">
        <v>0</v>
      </c>
      <c r="CP112" s="5">
        <v>0</v>
      </c>
      <c r="CQ112" s="5">
        <v>0</v>
      </c>
      <c r="CR112" s="5">
        <v>0</v>
      </c>
      <c r="CS112" s="5">
        <v>0</v>
      </c>
      <c r="CT112" s="5">
        <v>0</v>
      </c>
      <c r="CU112" s="5">
        <v>0</v>
      </c>
      <c r="CV112" s="5">
        <v>0</v>
      </c>
      <c r="CW112" s="5">
        <v>0</v>
      </c>
      <c r="CX112" s="5">
        <v>0</v>
      </c>
      <c r="CY112" s="5">
        <v>0</v>
      </c>
      <c r="CZ112" s="5">
        <v>0</v>
      </c>
      <c r="DA112" s="5">
        <v>0</v>
      </c>
      <c r="DB112" s="5">
        <v>0</v>
      </c>
      <c r="DC112" s="5">
        <v>0</v>
      </c>
      <c r="DD112" s="5">
        <v>0</v>
      </c>
      <c r="DE112" s="5">
        <v>0</v>
      </c>
      <c r="DF112" s="5">
        <v>0</v>
      </c>
      <c r="DG112" s="5">
        <v>0</v>
      </c>
      <c r="DH112" s="5">
        <v>0</v>
      </c>
      <c r="DI112" s="5">
        <v>0</v>
      </c>
      <c r="DJ112" s="5">
        <v>0</v>
      </c>
      <c r="DK112" s="6">
        <v>0</v>
      </c>
    </row>
    <row r="113" spans="1:115" x14ac:dyDescent="0.15">
      <c r="A113" s="4">
        <v>0</v>
      </c>
      <c r="B113" s="5">
        <v>0</v>
      </c>
      <c r="C113" s="5">
        <v>0</v>
      </c>
      <c r="D113" s="5">
        <v>0</v>
      </c>
      <c r="E113" s="5">
        <v>0</v>
      </c>
      <c r="F113" s="5">
        <v>0</v>
      </c>
      <c r="G113" s="5">
        <v>0</v>
      </c>
      <c r="H113" s="5">
        <v>0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Z113" s="5">
        <v>0</v>
      </c>
      <c r="AA113" s="5">
        <v>0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5">
        <v>0</v>
      </c>
      <c r="AK113" s="5">
        <v>0</v>
      </c>
      <c r="AL113" s="5">
        <v>0</v>
      </c>
      <c r="AM113" s="5">
        <v>0</v>
      </c>
      <c r="AN113" s="5">
        <v>0</v>
      </c>
      <c r="AO113" s="5">
        <v>0</v>
      </c>
      <c r="AP113" s="5">
        <v>0</v>
      </c>
      <c r="AQ113" s="5">
        <v>0</v>
      </c>
      <c r="AR113" s="5">
        <v>0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 s="5">
        <v>0</v>
      </c>
      <c r="AY113" s="5">
        <v>0</v>
      </c>
      <c r="AZ113" s="5">
        <v>0</v>
      </c>
      <c r="BA113" s="5">
        <v>0</v>
      </c>
      <c r="BB113" s="5">
        <v>0</v>
      </c>
      <c r="BC113" s="5">
        <v>0</v>
      </c>
      <c r="BD113" s="5">
        <v>0</v>
      </c>
      <c r="BE113" s="5">
        <v>0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5">
        <v>0</v>
      </c>
      <c r="BM113" s="5">
        <v>0</v>
      </c>
      <c r="BN113" s="5">
        <v>0</v>
      </c>
      <c r="BO113" s="5">
        <v>0</v>
      </c>
      <c r="BP113" s="5">
        <v>0</v>
      </c>
      <c r="BQ113" s="5">
        <v>0</v>
      </c>
      <c r="BR113" s="5">
        <v>0</v>
      </c>
      <c r="BS113" s="5">
        <v>0</v>
      </c>
      <c r="BT113" s="5">
        <v>0</v>
      </c>
      <c r="BU113" s="5">
        <v>0</v>
      </c>
      <c r="BV113" s="5">
        <v>0</v>
      </c>
      <c r="BW113" s="5">
        <v>0</v>
      </c>
      <c r="BX113" s="5">
        <v>0</v>
      </c>
      <c r="BY113" s="5">
        <v>0</v>
      </c>
      <c r="BZ113" s="5">
        <v>0</v>
      </c>
      <c r="CA113" s="5">
        <v>0</v>
      </c>
      <c r="CB113" s="5">
        <v>0</v>
      </c>
      <c r="CC113" s="5">
        <v>0</v>
      </c>
      <c r="CD113" s="5">
        <v>0</v>
      </c>
      <c r="CE113" s="5">
        <v>0</v>
      </c>
      <c r="CF113" s="5">
        <v>0</v>
      </c>
      <c r="CG113" s="5">
        <v>0</v>
      </c>
      <c r="CH113" s="5">
        <v>0</v>
      </c>
      <c r="CI113" s="5">
        <v>0</v>
      </c>
      <c r="CJ113" s="5">
        <v>0</v>
      </c>
      <c r="CK113" s="5">
        <v>0</v>
      </c>
      <c r="CL113" s="5">
        <v>0</v>
      </c>
      <c r="CM113" s="5">
        <v>0</v>
      </c>
      <c r="CN113" s="5">
        <v>0</v>
      </c>
      <c r="CO113" s="5">
        <v>0</v>
      </c>
      <c r="CP113" s="5">
        <v>0</v>
      </c>
      <c r="CQ113" s="5">
        <v>0</v>
      </c>
      <c r="CR113" s="5">
        <v>0</v>
      </c>
      <c r="CS113" s="5">
        <v>0</v>
      </c>
      <c r="CT113" s="5">
        <v>0</v>
      </c>
      <c r="CU113" s="5">
        <v>0</v>
      </c>
      <c r="CV113" s="5">
        <v>0</v>
      </c>
      <c r="CW113" s="5">
        <v>0</v>
      </c>
      <c r="CX113" s="5">
        <v>0</v>
      </c>
      <c r="CY113" s="5">
        <v>0</v>
      </c>
      <c r="CZ113" s="5">
        <v>0</v>
      </c>
      <c r="DA113" s="5">
        <v>0</v>
      </c>
      <c r="DB113" s="5">
        <v>0</v>
      </c>
      <c r="DC113" s="5">
        <v>0</v>
      </c>
      <c r="DD113" s="5">
        <v>0</v>
      </c>
      <c r="DE113" s="5">
        <v>0</v>
      </c>
      <c r="DF113" s="5">
        <v>0</v>
      </c>
      <c r="DG113" s="5">
        <v>0</v>
      </c>
      <c r="DH113" s="5">
        <v>0</v>
      </c>
      <c r="DI113" s="5">
        <v>0</v>
      </c>
      <c r="DJ113" s="5">
        <v>0</v>
      </c>
      <c r="DK113" s="6">
        <v>0</v>
      </c>
    </row>
    <row r="114" spans="1:115" x14ac:dyDescent="0.15">
      <c r="A114" s="4">
        <v>0</v>
      </c>
      <c r="B114" s="5">
        <v>0</v>
      </c>
      <c r="C114" s="5">
        <v>0</v>
      </c>
      <c r="D114" s="5">
        <v>0</v>
      </c>
      <c r="E114" s="5">
        <v>0</v>
      </c>
      <c r="F114" s="5">
        <v>0</v>
      </c>
      <c r="G114" s="5">
        <v>0</v>
      </c>
      <c r="H114" s="5">
        <v>0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Z114" s="5">
        <v>0</v>
      </c>
      <c r="AA114" s="5">
        <v>0</v>
      </c>
      <c r="AB114" s="5">
        <v>0</v>
      </c>
      <c r="AC114" s="5">
        <v>0</v>
      </c>
      <c r="AD114" s="5">
        <v>0</v>
      </c>
      <c r="AE114" s="5">
        <v>0</v>
      </c>
      <c r="AF114" s="5">
        <v>0</v>
      </c>
      <c r="AG114" s="5">
        <v>0</v>
      </c>
      <c r="AH114" s="5">
        <v>0</v>
      </c>
      <c r="AI114" s="5">
        <v>0</v>
      </c>
      <c r="AJ114" s="5">
        <v>0</v>
      </c>
      <c r="AK114" s="5">
        <v>0</v>
      </c>
      <c r="AL114" s="5">
        <v>0</v>
      </c>
      <c r="AM114" s="5">
        <v>0</v>
      </c>
      <c r="AN114" s="5">
        <v>0</v>
      </c>
      <c r="AO114" s="5">
        <v>0</v>
      </c>
      <c r="AP114" s="5">
        <v>0</v>
      </c>
      <c r="AQ114" s="5">
        <v>0</v>
      </c>
      <c r="AR114" s="5">
        <v>0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 s="5">
        <v>0</v>
      </c>
      <c r="AY114" s="5">
        <v>0</v>
      </c>
      <c r="AZ114" s="5">
        <v>0</v>
      </c>
      <c r="BA114" s="5">
        <v>0</v>
      </c>
      <c r="BB114" s="5">
        <v>0</v>
      </c>
      <c r="BC114" s="5">
        <v>0</v>
      </c>
      <c r="BD114" s="5">
        <v>0</v>
      </c>
      <c r="BE114" s="5">
        <v>0</v>
      </c>
      <c r="BF114" s="5">
        <v>0</v>
      </c>
      <c r="BG114" s="5">
        <v>0</v>
      </c>
      <c r="BH114" s="5">
        <v>0</v>
      </c>
      <c r="BI114" s="5">
        <v>0</v>
      </c>
      <c r="BJ114" s="5">
        <v>0</v>
      </c>
      <c r="BK114" s="5">
        <v>0</v>
      </c>
      <c r="BL114" s="5">
        <v>0</v>
      </c>
      <c r="BM114" s="5">
        <v>0</v>
      </c>
      <c r="BN114" s="5">
        <v>0</v>
      </c>
      <c r="BO114" s="5">
        <v>0</v>
      </c>
      <c r="BP114" s="5">
        <v>0</v>
      </c>
      <c r="BQ114" s="5">
        <v>0</v>
      </c>
      <c r="BR114" s="5">
        <v>0</v>
      </c>
      <c r="BS114" s="5">
        <v>0</v>
      </c>
      <c r="BT114" s="5">
        <v>0</v>
      </c>
      <c r="BU114" s="5">
        <v>0</v>
      </c>
      <c r="BV114" s="5">
        <v>0</v>
      </c>
      <c r="BW114" s="5">
        <v>0</v>
      </c>
      <c r="BX114" s="5">
        <v>0</v>
      </c>
      <c r="BY114" s="5">
        <v>0</v>
      </c>
      <c r="BZ114" s="5">
        <v>0</v>
      </c>
      <c r="CA114" s="5">
        <v>0</v>
      </c>
      <c r="CB114" s="5">
        <v>0</v>
      </c>
      <c r="CC114" s="5">
        <v>0</v>
      </c>
      <c r="CD114" s="5">
        <v>0</v>
      </c>
      <c r="CE114" s="5">
        <v>0</v>
      </c>
      <c r="CF114" s="5">
        <v>0</v>
      </c>
      <c r="CG114" s="5">
        <v>0</v>
      </c>
      <c r="CH114" s="5">
        <v>0</v>
      </c>
      <c r="CI114" s="5">
        <v>0</v>
      </c>
      <c r="CJ114" s="5">
        <v>0</v>
      </c>
      <c r="CK114" s="5">
        <v>0</v>
      </c>
      <c r="CL114" s="5">
        <v>0</v>
      </c>
      <c r="CM114" s="5">
        <v>0</v>
      </c>
      <c r="CN114" s="5">
        <v>0</v>
      </c>
      <c r="CO114" s="5">
        <v>0</v>
      </c>
      <c r="CP114" s="5">
        <v>0</v>
      </c>
      <c r="CQ114" s="5">
        <v>0</v>
      </c>
      <c r="CR114" s="5">
        <v>0</v>
      </c>
      <c r="CS114" s="5">
        <v>0</v>
      </c>
      <c r="CT114" s="5">
        <v>0</v>
      </c>
      <c r="CU114" s="5">
        <v>0</v>
      </c>
      <c r="CV114" s="5">
        <v>0</v>
      </c>
      <c r="CW114" s="5">
        <v>0</v>
      </c>
      <c r="CX114" s="5">
        <v>0</v>
      </c>
      <c r="CY114" s="5">
        <v>0</v>
      </c>
      <c r="CZ114" s="5">
        <v>0</v>
      </c>
      <c r="DA114" s="5">
        <v>0</v>
      </c>
      <c r="DB114" s="5">
        <v>0</v>
      </c>
      <c r="DC114" s="5">
        <v>0</v>
      </c>
      <c r="DD114" s="5">
        <v>0</v>
      </c>
      <c r="DE114" s="5">
        <v>0</v>
      </c>
      <c r="DF114" s="5">
        <v>0</v>
      </c>
      <c r="DG114" s="5">
        <v>0</v>
      </c>
      <c r="DH114" s="5">
        <v>0</v>
      </c>
      <c r="DI114" s="5">
        <v>0</v>
      </c>
      <c r="DJ114" s="5">
        <v>0</v>
      </c>
      <c r="DK114" s="6">
        <v>0</v>
      </c>
    </row>
    <row r="115" spans="1:115" x14ac:dyDescent="0.15">
      <c r="A115" s="4">
        <v>0</v>
      </c>
      <c r="B115" s="5">
        <v>0</v>
      </c>
      <c r="C115" s="5">
        <v>0</v>
      </c>
      <c r="D115" s="5">
        <v>0</v>
      </c>
      <c r="E115" s="5">
        <v>0</v>
      </c>
      <c r="F115" s="5">
        <v>0</v>
      </c>
      <c r="G115" s="5">
        <v>0</v>
      </c>
      <c r="H115" s="5">
        <v>0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Z115" s="5">
        <v>0</v>
      </c>
      <c r="AA115" s="5">
        <v>0</v>
      </c>
      <c r="AB115" s="5">
        <v>0</v>
      </c>
      <c r="AC115" s="5">
        <v>0</v>
      </c>
      <c r="AD115" s="5">
        <v>0</v>
      </c>
      <c r="AE115" s="5">
        <v>0</v>
      </c>
      <c r="AF115" s="5">
        <v>0</v>
      </c>
      <c r="AG115" s="5">
        <v>0</v>
      </c>
      <c r="AH115" s="5">
        <v>0</v>
      </c>
      <c r="AI115" s="5">
        <v>0</v>
      </c>
      <c r="AJ115" s="5">
        <v>0</v>
      </c>
      <c r="AK115" s="5">
        <v>0</v>
      </c>
      <c r="AL115" s="5">
        <v>0</v>
      </c>
      <c r="AM115" s="5">
        <v>0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0</v>
      </c>
      <c r="BA115" s="5">
        <v>0</v>
      </c>
      <c r="BB115" s="5">
        <v>0</v>
      </c>
      <c r="BC115" s="5">
        <v>0</v>
      </c>
      <c r="BD115" s="5">
        <v>0</v>
      </c>
      <c r="BE115" s="5">
        <v>0</v>
      </c>
      <c r="BF115" s="5">
        <v>0</v>
      </c>
      <c r="BG115" s="5">
        <v>0</v>
      </c>
      <c r="BH115" s="5">
        <v>0</v>
      </c>
      <c r="BI115" s="5">
        <v>0</v>
      </c>
      <c r="BJ115" s="5">
        <v>0</v>
      </c>
      <c r="BK115" s="5">
        <v>0</v>
      </c>
      <c r="BL115" s="5">
        <v>0</v>
      </c>
      <c r="BM115" s="5">
        <v>0</v>
      </c>
      <c r="BN115" s="5">
        <v>0</v>
      </c>
      <c r="BO115" s="5">
        <v>0</v>
      </c>
      <c r="BP115" s="5">
        <v>0</v>
      </c>
      <c r="BQ115" s="5">
        <v>0</v>
      </c>
      <c r="BR115" s="5">
        <v>0</v>
      </c>
      <c r="BS115" s="5">
        <v>0</v>
      </c>
      <c r="BT115" s="5">
        <v>0</v>
      </c>
      <c r="BU115" s="5">
        <v>0</v>
      </c>
      <c r="BV115" s="5">
        <v>0</v>
      </c>
      <c r="BW115" s="5">
        <v>0</v>
      </c>
      <c r="BX115" s="5">
        <v>0</v>
      </c>
      <c r="BY115" s="5">
        <v>0</v>
      </c>
      <c r="BZ115" s="5">
        <v>0</v>
      </c>
      <c r="CA115" s="5">
        <v>0</v>
      </c>
      <c r="CB115" s="5">
        <v>0</v>
      </c>
      <c r="CC115" s="5">
        <v>0</v>
      </c>
      <c r="CD115" s="5">
        <v>0</v>
      </c>
      <c r="CE115" s="5">
        <v>0</v>
      </c>
      <c r="CF115" s="5">
        <v>0</v>
      </c>
      <c r="CG115" s="5">
        <v>0</v>
      </c>
      <c r="CH115" s="5">
        <v>0</v>
      </c>
      <c r="CI115" s="5">
        <v>0</v>
      </c>
      <c r="CJ115" s="5">
        <v>0</v>
      </c>
      <c r="CK115" s="5">
        <v>0</v>
      </c>
      <c r="CL115" s="5">
        <v>0</v>
      </c>
      <c r="CM115" s="5">
        <v>0</v>
      </c>
      <c r="CN115" s="5">
        <v>0</v>
      </c>
      <c r="CO115" s="5">
        <v>0</v>
      </c>
      <c r="CP115" s="5">
        <v>0</v>
      </c>
      <c r="CQ115" s="5">
        <v>0</v>
      </c>
      <c r="CR115" s="5">
        <v>0</v>
      </c>
      <c r="CS115" s="5">
        <v>0</v>
      </c>
      <c r="CT115" s="5">
        <v>0</v>
      </c>
      <c r="CU115" s="5">
        <v>0</v>
      </c>
      <c r="CV115" s="5">
        <v>0</v>
      </c>
      <c r="CW115" s="5">
        <v>0</v>
      </c>
      <c r="CX115" s="5">
        <v>0</v>
      </c>
      <c r="CY115" s="5">
        <v>0</v>
      </c>
      <c r="CZ115" s="5">
        <v>0</v>
      </c>
      <c r="DA115" s="5">
        <v>0</v>
      </c>
      <c r="DB115" s="5">
        <v>0</v>
      </c>
      <c r="DC115" s="5">
        <v>0</v>
      </c>
      <c r="DD115" s="5">
        <v>0</v>
      </c>
      <c r="DE115" s="5">
        <v>0</v>
      </c>
      <c r="DF115" s="5">
        <v>0</v>
      </c>
      <c r="DG115" s="5">
        <v>0</v>
      </c>
      <c r="DH115" s="5">
        <v>0</v>
      </c>
      <c r="DI115" s="5">
        <v>0</v>
      </c>
      <c r="DJ115" s="5">
        <v>0</v>
      </c>
      <c r="DK115" s="6">
        <v>0</v>
      </c>
    </row>
    <row r="116" spans="1:115" x14ac:dyDescent="0.15">
      <c r="A116" s="8">
        <v>0</v>
      </c>
      <c r="B116" s="9">
        <v>0</v>
      </c>
      <c r="C116" s="9">
        <v>0</v>
      </c>
      <c r="D116" s="9">
        <v>0</v>
      </c>
      <c r="E116" s="9">
        <v>0</v>
      </c>
      <c r="F116" s="9">
        <v>0</v>
      </c>
      <c r="G116" s="9">
        <v>0</v>
      </c>
      <c r="H116" s="9">
        <v>0</v>
      </c>
      <c r="I116" s="9">
        <v>0</v>
      </c>
      <c r="J116" s="9">
        <v>0</v>
      </c>
      <c r="K116" s="9">
        <v>0</v>
      </c>
      <c r="L116" s="9">
        <v>0</v>
      </c>
      <c r="M116" s="9">
        <v>0</v>
      </c>
      <c r="N116" s="9">
        <v>0</v>
      </c>
      <c r="O116" s="9">
        <v>0</v>
      </c>
      <c r="P116" s="9">
        <v>0</v>
      </c>
      <c r="Q116" s="9">
        <v>0</v>
      </c>
      <c r="R116" s="9">
        <v>0</v>
      </c>
      <c r="S116" s="9">
        <v>0</v>
      </c>
      <c r="T116" s="9">
        <v>0</v>
      </c>
      <c r="U116" s="9">
        <v>0</v>
      </c>
      <c r="V116" s="9">
        <v>0</v>
      </c>
      <c r="W116" s="9">
        <v>0</v>
      </c>
      <c r="X116" s="9">
        <v>0</v>
      </c>
      <c r="Y116" s="9">
        <v>0</v>
      </c>
      <c r="Z116" s="9">
        <v>0</v>
      </c>
      <c r="AA116" s="9">
        <v>0</v>
      </c>
      <c r="AB116" s="9">
        <v>0</v>
      </c>
      <c r="AC116" s="9">
        <v>0</v>
      </c>
      <c r="AD116" s="9">
        <v>0</v>
      </c>
      <c r="AE116" s="9">
        <v>0</v>
      </c>
      <c r="AF116" s="9">
        <v>0</v>
      </c>
      <c r="AG116" s="9">
        <v>0</v>
      </c>
      <c r="AH116" s="9">
        <v>0</v>
      </c>
      <c r="AI116" s="9">
        <v>0</v>
      </c>
      <c r="AJ116" s="9">
        <v>0</v>
      </c>
      <c r="AK116" s="9">
        <v>0</v>
      </c>
      <c r="AL116" s="9">
        <v>0</v>
      </c>
      <c r="AM116" s="9">
        <v>0</v>
      </c>
      <c r="AN116" s="9">
        <v>0</v>
      </c>
      <c r="AO116" s="9">
        <v>0</v>
      </c>
      <c r="AP116" s="9">
        <v>0</v>
      </c>
      <c r="AQ116" s="9">
        <v>0</v>
      </c>
      <c r="AR116" s="9">
        <v>0</v>
      </c>
      <c r="AS116" s="9">
        <v>0</v>
      </c>
      <c r="AT116" s="9">
        <v>0</v>
      </c>
      <c r="AU116" s="9">
        <v>0</v>
      </c>
      <c r="AV116" s="9">
        <v>0</v>
      </c>
      <c r="AW116" s="9">
        <v>0</v>
      </c>
      <c r="AX116" s="9">
        <v>0</v>
      </c>
      <c r="AY116" s="9">
        <v>0</v>
      </c>
      <c r="AZ116" s="9">
        <v>0</v>
      </c>
      <c r="BA116" s="9">
        <v>0</v>
      </c>
      <c r="BB116" s="9">
        <v>0</v>
      </c>
      <c r="BC116" s="9">
        <v>0</v>
      </c>
      <c r="BD116" s="9">
        <v>0</v>
      </c>
      <c r="BE116" s="9">
        <v>0</v>
      </c>
      <c r="BF116" s="9">
        <v>0</v>
      </c>
      <c r="BG116" s="9">
        <v>0</v>
      </c>
      <c r="BH116" s="9">
        <v>0</v>
      </c>
      <c r="BI116" s="9">
        <v>0</v>
      </c>
      <c r="BJ116" s="9">
        <v>0</v>
      </c>
      <c r="BK116" s="9">
        <v>0</v>
      </c>
      <c r="BL116" s="9">
        <v>0</v>
      </c>
      <c r="BM116" s="9">
        <v>0</v>
      </c>
      <c r="BN116" s="9">
        <v>0</v>
      </c>
      <c r="BO116" s="9">
        <v>0</v>
      </c>
      <c r="BP116" s="9">
        <v>0</v>
      </c>
      <c r="BQ116" s="9">
        <v>0</v>
      </c>
      <c r="BR116" s="9">
        <v>0</v>
      </c>
      <c r="BS116" s="9">
        <v>0</v>
      </c>
      <c r="BT116" s="9">
        <v>0</v>
      </c>
      <c r="BU116" s="9">
        <v>0</v>
      </c>
      <c r="BV116" s="9">
        <v>0</v>
      </c>
      <c r="BW116" s="9">
        <v>0</v>
      </c>
      <c r="BX116" s="9">
        <v>0</v>
      </c>
      <c r="BY116" s="9">
        <v>0</v>
      </c>
      <c r="BZ116" s="9">
        <v>0</v>
      </c>
      <c r="CA116" s="9">
        <v>0</v>
      </c>
      <c r="CB116" s="9">
        <v>0</v>
      </c>
      <c r="CC116" s="9">
        <v>0</v>
      </c>
      <c r="CD116" s="9">
        <v>0</v>
      </c>
      <c r="CE116" s="9">
        <v>0</v>
      </c>
      <c r="CF116" s="9">
        <v>0</v>
      </c>
      <c r="CG116" s="9">
        <v>0</v>
      </c>
      <c r="CH116" s="9">
        <v>0</v>
      </c>
      <c r="CI116" s="9">
        <v>0</v>
      </c>
      <c r="CJ116" s="9">
        <v>0</v>
      </c>
      <c r="CK116" s="9">
        <v>0</v>
      </c>
      <c r="CL116" s="9">
        <v>0</v>
      </c>
      <c r="CM116" s="9">
        <v>0</v>
      </c>
      <c r="CN116" s="9">
        <v>0</v>
      </c>
      <c r="CO116" s="9">
        <v>0</v>
      </c>
      <c r="CP116" s="9">
        <v>0</v>
      </c>
      <c r="CQ116" s="9">
        <v>0</v>
      </c>
      <c r="CR116" s="9">
        <v>0</v>
      </c>
      <c r="CS116" s="9">
        <v>0</v>
      </c>
      <c r="CT116" s="9">
        <v>0</v>
      </c>
      <c r="CU116" s="9">
        <v>0</v>
      </c>
      <c r="CV116" s="9">
        <v>0</v>
      </c>
      <c r="CW116" s="9">
        <v>0</v>
      </c>
      <c r="CX116" s="9">
        <v>0</v>
      </c>
      <c r="CY116" s="9">
        <v>0</v>
      </c>
      <c r="CZ116" s="9">
        <v>0</v>
      </c>
      <c r="DA116" s="9">
        <v>0</v>
      </c>
      <c r="DB116" s="9">
        <v>0</v>
      </c>
      <c r="DC116" s="9">
        <v>0</v>
      </c>
      <c r="DD116" s="9">
        <v>0</v>
      </c>
      <c r="DE116" s="9">
        <v>0</v>
      </c>
      <c r="DF116" s="9">
        <v>0</v>
      </c>
      <c r="DG116" s="9">
        <v>0</v>
      </c>
      <c r="DH116" s="9">
        <v>0</v>
      </c>
      <c r="DI116" s="9">
        <v>0</v>
      </c>
      <c r="DJ116" s="9">
        <v>0</v>
      </c>
      <c r="DK116" s="10">
        <v>0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46"/>
  <sheetViews>
    <sheetView topLeftCell="A42" workbookViewId="0">
      <selection activeCell="N48" sqref="N48"/>
    </sheetView>
  </sheetViews>
  <sheetFormatPr defaultRowHeight="13.5" x14ac:dyDescent="0.15"/>
  <sheetData>
    <row r="1" spans="1:8" ht="51.75" x14ac:dyDescent="0.3">
      <c r="A1" s="12" t="s">
        <v>28</v>
      </c>
      <c r="B1" s="12">
        <v>15552</v>
      </c>
      <c r="C1" s="12">
        <v>4559</v>
      </c>
      <c r="D1" s="12">
        <v>10993</v>
      </c>
      <c r="E1" s="13">
        <v>0.13439999999999999</v>
      </c>
      <c r="F1" s="13">
        <v>0.70689999999999997</v>
      </c>
      <c r="G1" s="12">
        <v>0.3276</v>
      </c>
      <c r="H1" s="12">
        <v>1.37E-2</v>
      </c>
    </row>
    <row r="2" spans="1:8" ht="17.25" x14ac:dyDescent="0.3">
      <c r="A2" s="12" t="s">
        <v>27</v>
      </c>
      <c r="B2" s="12">
        <v>27737</v>
      </c>
      <c r="C2" s="12">
        <v>9420</v>
      </c>
      <c r="D2" s="12">
        <v>18317</v>
      </c>
      <c r="E2" s="13">
        <v>0.23980000000000001</v>
      </c>
      <c r="F2" s="13">
        <v>0.66039999999999999</v>
      </c>
      <c r="G2" s="12">
        <v>0.1124</v>
      </c>
      <c r="H2" s="12">
        <v>3.0000000000000001E-3</v>
      </c>
    </row>
    <row r="3" spans="1:8" ht="17.25" x14ac:dyDescent="0.3">
      <c r="A3" s="12" t="s">
        <v>26</v>
      </c>
      <c r="B3" s="12">
        <v>14605</v>
      </c>
      <c r="C3" s="12">
        <v>5286</v>
      </c>
      <c r="D3" s="12">
        <v>9319</v>
      </c>
      <c r="E3" s="13">
        <v>0.1263</v>
      </c>
      <c r="F3" s="13">
        <v>0.6381</v>
      </c>
      <c r="G3" s="12">
        <v>1.44E-2</v>
      </c>
      <c r="H3" s="12">
        <v>0</v>
      </c>
    </row>
    <row r="4" spans="1:8" ht="17.25" x14ac:dyDescent="0.3">
      <c r="A4" s="12" t="s">
        <v>25</v>
      </c>
      <c r="B4" s="12">
        <v>31040</v>
      </c>
      <c r="C4" s="12">
        <v>12142</v>
      </c>
      <c r="D4" s="12">
        <v>18898</v>
      </c>
      <c r="E4" s="13">
        <v>0.26829999999999998</v>
      </c>
      <c r="F4" s="13">
        <v>0.60880000000000001</v>
      </c>
      <c r="G4" s="12">
        <v>-0.11020000000000001</v>
      </c>
      <c r="H4" s="12">
        <v>3.3E-3</v>
      </c>
    </row>
    <row r="5" spans="1:8" ht="17.25" x14ac:dyDescent="0.3">
      <c r="A5" s="12" t="s">
        <v>24</v>
      </c>
      <c r="B5" s="12">
        <v>26739</v>
      </c>
      <c r="C5" s="12">
        <v>10844</v>
      </c>
      <c r="D5" s="12">
        <v>15895</v>
      </c>
      <c r="E5" s="13">
        <v>0.23119999999999999</v>
      </c>
      <c r="F5" s="13">
        <v>0.59450000000000003</v>
      </c>
      <c r="G5" s="12">
        <v>-0.17019999999999999</v>
      </c>
      <c r="H5" s="12">
        <v>6.7999999999999996E-3</v>
      </c>
    </row>
    <row r="8" spans="1:8" ht="51.75" x14ac:dyDescent="0.3">
      <c r="A8" s="12" t="s">
        <v>30</v>
      </c>
      <c r="B8" s="12">
        <v>6991</v>
      </c>
      <c r="C8" s="12">
        <v>2274</v>
      </c>
      <c r="D8" s="12">
        <v>4717</v>
      </c>
      <c r="E8" s="13">
        <v>6.0400000000000002E-2</v>
      </c>
      <c r="F8" s="13">
        <v>0.67469999999999997</v>
      </c>
      <c r="G8" s="12">
        <v>0.17699999999999999</v>
      </c>
      <c r="H8" s="12">
        <v>1.8E-3</v>
      </c>
    </row>
    <row r="9" spans="1:8" ht="17.25" x14ac:dyDescent="0.3">
      <c r="A9" s="12" t="s">
        <v>29</v>
      </c>
      <c r="B9" s="12">
        <v>108682</v>
      </c>
      <c r="C9" s="12">
        <v>39977</v>
      </c>
      <c r="D9" s="12">
        <v>68705</v>
      </c>
      <c r="E9" s="13">
        <v>0.93959999999999999</v>
      </c>
      <c r="F9" s="13">
        <v>0.63219999999999998</v>
      </c>
      <c r="G9" s="12">
        <v>-1.11E-2</v>
      </c>
      <c r="H9" s="12">
        <v>1E-4</v>
      </c>
    </row>
    <row r="12" spans="1:8" ht="34.5" x14ac:dyDescent="0.3">
      <c r="A12" s="12" t="s">
        <v>32</v>
      </c>
      <c r="B12" s="12">
        <v>290</v>
      </c>
      <c r="C12" s="12">
        <v>92</v>
      </c>
      <c r="D12" s="12">
        <v>198</v>
      </c>
      <c r="E12" s="13">
        <v>2.5000000000000001E-3</v>
      </c>
      <c r="F12" s="13">
        <v>0.68279999999999996</v>
      </c>
      <c r="G12" s="12">
        <v>0.21390000000000001</v>
      </c>
      <c r="H12" s="12">
        <v>1E-4</v>
      </c>
    </row>
    <row r="13" spans="1:8" ht="17.25" x14ac:dyDescent="0.3">
      <c r="A13" s="12" t="s">
        <v>31</v>
      </c>
      <c r="B13" s="12">
        <v>13444</v>
      </c>
      <c r="C13" s="12">
        <v>4411</v>
      </c>
      <c r="D13" s="12">
        <v>9033</v>
      </c>
      <c r="E13" s="13">
        <v>0.1162</v>
      </c>
      <c r="F13" s="13">
        <v>0.67190000000000005</v>
      </c>
      <c r="G13" s="12">
        <v>0.16420000000000001</v>
      </c>
      <c r="H13" s="12">
        <v>3.0999999999999999E-3</v>
      </c>
    </row>
    <row r="14" spans="1:8" ht="17.25" x14ac:dyDescent="0.3">
      <c r="A14" s="12">
        <v>0</v>
      </c>
      <c r="B14" s="12">
        <v>101939</v>
      </c>
      <c r="C14" s="12">
        <v>37748</v>
      </c>
      <c r="D14" s="12">
        <v>64191</v>
      </c>
      <c r="E14" s="13">
        <v>0.88129999999999997</v>
      </c>
      <c r="F14" s="13">
        <v>0.62970000000000004</v>
      </c>
      <c r="G14" s="12">
        <v>-2.1700000000000001E-2</v>
      </c>
      <c r="H14" s="12">
        <v>4.0000000000000002E-4</v>
      </c>
    </row>
    <row r="17" spans="1:8" ht="69" x14ac:dyDescent="0.3">
      <c r="A17" s="12" t="s">
        <v>36</v>
      </c>
      <c r="B17" s="12">
        <v>25</v>
      </c>
      <c r="C17" s="12">
        <v>7</v>
      </c>
      <c r="D17" s="12">
        <v>18</v>
      </c>
      <c r="E17" s="13">
        <v>2.0000000000000001E-4</v>
      </c>
      <c r="F17" s="13">
        <v>0.72</v>
      </c>
      <c r="G17" s="12">
        <v>0.39190000000000003</v>
      </c>
      <c r="H17" s="12">
        <v>0</v>
      </c>
    </row>
    <row r="18" spans="1:8" ht="34.5" x14ac:dyDescent="0.3">
      <c r="A18" s="12" t="s">
        <v>35</v>
      </c>
      <c r="B18" s="12">
        <v>73768</v>
      </c>
      <c r="C18" s="12">
        <v>26463</v>
      </c>
      <c r="D18" s="12">
        <v>47305</v>
      </c>
      <c r="E18" s="13">
        <v>0.63770000000000004</v>
      </c>
      <c r="F18" s="13">
        <v>0.64129999999999998</v>
      </c>
      <c r="G18" s="12">
        <v>2.8299999999999999E-2</v>
      </c>
      <c r="H18" s="12">
        <v>5.0000000000000001E-4</v>
      </c>
    </row>
    <row r="19" spans="1:8" ht="34.5" x14ac:dyDescent="0.3">
      <c r="A19" s="12" t="s">
        <v>34</v>
      </c>
      <c r="B19" s="12">
        <v>19637</v>
      </c>
      <c r="C19" s="12">
        <v>7184</v>
      </c>
      <c r="D19" s="12">
        <v>12453</v>
      </c>
      <c r="E19" s="13">
        <v>0.16980000000000001</v>
      </c>
      <c r="F19" s="13">
        <v>0.63419999999999999</v>
      </c>
      <c r="G19" s="12">
        <v>-2.5000000000000001E-3</v>
      </c>
      <c r="H19" s="12">
        <v>0</v>
      </c>
    </row>
    <row r="20" spans="1:8" ht="34.5" x14ac:dyDescent="0.3">
      <c r="A20" s="12" t="s">
        <v>33</v>
      </c>
      <c r="B20" s="12">
        <v>22243</v>
      </c>
      <c r="C20" s="12">
        <v>8597</v>
      </c>
      <c r="D20" s="12">
        <v>13646</v>
      </c>
      <c r="E20" s="13">
        <v>0.1923</v>
      </c>
      <c r="F20" s="13">
        <v>0.61350000000000005</v>
      </c>
      <c r="G20" s="12">
        <v>-9.06E-2</v>
      </c>
      <c r="H20" s="12">
        <v>1.6000000000000001E-3</v>
      </c>
    </row>
    <row r="22" spans="1:8" ht="51.75" x14ac:dyDescent="0.3">
      <c r="A22" s="12" t="s">
        <v>40</v>
      </c>
      <c r="B22" s="12">
        <v>383</v>
      </c>
      <c r="C22" s="12">
        <v>74</v>
      </c>
      <c r="D22" s="12">
        <v>309</v>
      </c>
      <c r="E22" s="13">
        <v>3.3E-3</v>
      </c>
      <c r="F22" s="13">
        <v>0.80679999999999996</v>
      </c>
      <c r="G22" s="12">
        <v>0.87670000000000003</v>
      </c>
      <c r="H22" s="12">
        <v>2.2000000000000001E-3</v>
      </c>
    </row>
    <row r="23" spans="1:8" ht="17.25" x14ac:dyDescent="0.3">
      <c r="A23" s="12" t="s">
        <v>39</v>
      </c>
      <c r="B23" s="12">
        <v>2732</v>
      </c>
      <c r="C23" s="12">
        <v>783</v>
      </c>
      <c r="D23" s="12">
        <v>1949</v>
      </c>
      <c r="E23" s="13">
        <v>2.3599999999999999E-2</v>
      </c>
      <c r="F23" s="13">
        <v>0.71340000000000003</v>
      </c>
      <c r="G23" s="12">
        <v>0.35930000000000001</v>
      </c>
      <c r="H23" s="12">
        <v>2.8999999999999998E-3</v>
      </c>
    </row>
    <row r="24" spans="1:8" ht="17.25" x14ac:dyDescent="0.3">
      <c r="A24" s="12" t="s">
        <v>38</v>
      </c>
      <c r="B24" s="12">
        <v>3040</v>
      </c>
      <c r="C24" s="12">
        <v>925</v>
      </c>
      <c r="D24" s="12">
        <v>2115</v>
      </c>
      <c r="E24" s="13">
        <v>2.63E-2</v>
      </c>
      <c r="F24" s="13">
        <v>0.69569999999999999</v>
      </c>
      <c r="G24" s="12">
        <v>0.27439999999999998</v>
      </c>
      <c r="H24" s="12">
        <v>1.9E-3</v>
      </c>
    </row>
    <row r="25" spans="1:8" ht="17.25" x14ac:dyDescent="0.3">
      <c r="A25" s="12" t="s">
        <v>37</v>
      </c>
      <c r="B25" s="12">
        <v>109518</v>
      </c>
      <c r="C25" s="12">
        <v>40469</v>
      </c>
      <c r="D25" s="12">
        <v>69049</v>
      </c>
      <c r="E25" s="13">
        <v>0.94679999999999997</v>
      </c>
      <c r="F25" s="13">
        <v>0.63049999999999995</v>
      </c>
      <c r="G25" s="12">
        <v>-1.83E-2</v>
      </c>
      <c r="H25" s="12">
        <v>2.9999999999999997E-4</v>
      </c>
    </row>
    <row r="31" spans="1:8" x14ac:dyDescent="0.15">
      <c r="A31">
        <f>EXP(1)</f>
        <v>2.7182818284590451</v>
      </c>
      <c r="B31" s="14">
        <f>A31/SUM($A$31:$A$34)</f>
        <v>3.2058603280084988E-2</v>
      </c>
    </row>
    <row r="32" spans="1:8" x14ac:dyDescent="0.15">
      <c r="A32">
        <f>EXP(2)</f>
        <v>7.3890560989306504</v>
      </c>
      <c r="B32" s="14">
        <f t="shared" ref="B32:B34" si="0">A32/SUM($A$31:$A$34)</f>
        <v>8.7144318742032573E-2</v>
      </c>
    </row>
    <row r="33" spans="1:15" x14ac:dyDescent="0.15">
      <c r="A33">
        <f>EXP(3)</f>
        <v>20.085536923187668</v>
      </c>
      <c r="B33" s="14">
        <f t="shared" si="0"/>
        <v>0.23688281808991013</v>
      </c>
    </row>
    <row r="34" spans="1:15" x14ac:dyDescent="0.15">
      <c r="A34">
        <f>EXP(4)</f>
        <v>54.598150033144236</v>
      </c>
      <c r="B34" s="14">
        <f t="shared" si="0"/>
        <v>0.64391425988797224</v>
      </c>
    </row>
    <row r="37" spans="1:15" x14ac:dyDescent="0.15">
      <c r="A37" t="s">
        <v>41</v>
      </c>
      <c r="B37" t="s">
        <v>42</v>
      </c>
      <c r="C37" t="s">
        <v>43</v>
      </c>
      <c r="D37" t="s">
        <v>44</v>
      </c>
      <c r="E37" t="s">
        <v>45</v>
      </c>
      <c r="F37" t="s">
        <v>46</v>
      </c>
      <c r="G37" t="s">
        <v>7</v>
      </c>
      <c r="H37" t="s">
        <v>47</v>
      </c>
      <c r="I37" t="s">
        <v>48</v>
      </c>
      <c r="J37" t="s">
        <v>49</v>
      </c>
      <c r="K37" t="s">
        <v>50</v>
      </c>
      <c r="L37" t="s">
        <v>51</v>
      </c>
      <c r="M37" t="s">
        <v>52</v>
      </c>
      <c r="N37" t="s">
        <v>53</v>
      </c>
      <c r="O37" t="s">
        <v>54</v>
      </c>
    </row>
    <row r="38" spans="1:15" x14ac:dyDescent="0.15">
      <c r="A38" t="s">
        <v>55</v>
      </c>
      <c r="B38">
        <v>8030</v>
      </c>
      <c r="C38">
        <v>67220</v>
      </c>
      <c r="D38">
        <v>6202</v>
      </c>
      <c r="E38">
        <v>34221</v>
      </c>
      <c r="F38">
        <v>42251</v>
      </c>
      <c r="G38">
        <v>73422</v>
      </c>
      <c r="H38">
        <v>115673</v>
      </c>
      <c r="I38">
        <v>0.65054074849999999</v>
      </c>
      <c r="J38">
        <v>0.5642214727</v>
      </c>
      <c r="K38">
        <v>0.1900546733</v>
      </c>
      <c r="L38">
        <v>0.28433333919999998</v>
      </c>
      <c r="M38">
        <v>0.63440443310000005</v>
      </c>
      <c r="N38">
        <v>0.19255</v>
      </c>
      <c r="O38">
        <v>0.19024165109999999</v>
      </c>
    </row>
    <row r="39" spans="1:15" x14ac:dyDescent="0.15">
      <c r="A39" t="s">
        <v>56</v>
      </c>
      <c r="B39">
        <v>4054</v>
      </c>
      <c r="C39">
        <v>33935</v>
      </c>
      <c r="D39">
        <v>2936</v>
      </c>
      <c r="E39">
        <v>17628</v>
      </c>
      <c r="F39">
        <v>21682</v>
      </c>
      <c r="G39">
        <v>36871</v>
      </c>
      <c r="H39">
        <v>58553</v>
      </c>
      <c r="I39">
        <v>0.64879681659999999</v>
      </c>
      <c r="J39">
        <v>0.57997138770000001</v>
      </c>
      <c r="K39">
        <v>0.1869753713</v>
      </c>
      <c r="L39">
        <v>0.28278459820000001</v>
      </c>
      <c r="M39">
        <v>0.6413256303</v>
      </c>
      <c r="N39">
        <v>0.20403299999999999</v>
      </c>
      <c r="O39">
        <v>0.19702103130000001</v>
      </c>
    </row>
    <row r="40" spans="1:15" x14ac:dyDescent="0.15">
      <c r="A40" t="s">
        <v>57</v>
      </c>
      <c r="B40">
        <v>1949</v>
      </c>
      <c r="C40">
        <v>17180</v>
      </c>
      <c r="D40">
        <v>1465</v>
      </c>
      <c r="E40">
        <v>9334</v>
      </c>
      <c r="F40">
        <v>11283</v>
      </c>
      <c r="G40">
        <v>18645</v>
      </c>
      <c r="H40">
        <v>29928</v>
      </c>
      <c r="I40">
        <v>0.63916733489999999</v>
      </c>
      <c r="J40">
        <v>0.57088459290000004</v>
      </c>
      <c r="K40">
        <v>0.17273774710000001</v>
      </c>
      <c r="L40">
        <v>0.26522419539999997</v>
      </c>
      <c r="M40">
        <v>0.63053505310000002</v>
      </c>
      <c r="N40">
        <v>0.19122600000000001</v>
      </c>
      <c r="O40">
        <v>0.1798422405</v>
      </c>
    </row>
    <row r="41" spans="1:15" x14ac:dyDescent="0.15">
      <c r="A41" t="s">
        <v>58</v>
      </c>
      <c r="B41">
        <v>2105</v>
      </c>
      <c r="C41">
        <v>16755</v>
      </c>
      <c r="D41">
        <v>1471</v>
      </c>
      <c r="E41">
        <v>8294</v>
      </c>
      <c r="F41">
        <v>10399</v>
      </c>
      <c r="G41">
        <v>18226</v>
      </c>
      <c r="H41">
        <v>28625</v>
      </c>
      <c r="I41">
        <v>0.65886462879999996</v>
      </c>
      <c r="J41">
        <v>0.58864653239999998</v>
      </c>
      <c r="K41">
        <v>0.20242330989999999</v>
      </c>
      <c r="L41">
        <v>0.30125223610000001</v>
      </c>
      <c r="M41">
        <v>0.65310426399999999</v>
      </c>
      <c r="N41">
        <v>0.220363</v>
      </c>
      <c r="O41">
        <v>0.2119973074</v>
      </c>
    </row>
    <row r="42" spans="1:15" x14ac:dyDescent="0.15">
      <c r="A42" t="s">
        <v>59</v>
      </c>
      <c r="B42">
        <v>6491</v>
      </c>
      <c r="C42">
        <v>46523</v>
      </c>
      <c r="D42">
        <v>4089</v>
      </c>
      <c r="E42">
        <v>28078</v>
      </c>
      <c r="F42">
        <v>34569</v>
      </c>
      <c r="G42">
        <v>50612</v>
      </c>
      <c r="H42">
        <v>85181</v>
      </c>
      <c r="I42">
        <v>0.62236883809999999</v>
      </c>
      <c r="J42">
        <v>0.61351606810000003</v>
      </c>
      <c r="K42">
        <v>0.18776938879999999</v>
      </c>
      <c r="L42">
        <v>0.28753682250000001</v>
      </c>
      <c r="M42">
        <v>0.63300601150000002</v>
      </c>
      <c r="N42">
        <v>0.190752</v>
      </c>
      <c r="O42">
        <v>0.17766958839999999</v>
      </c>
    </row>
    <row r="43" spans="1:15" x14ac:dyDescent="0.15">
      <c r="A43" t="s">
        <v>60</v>
      </c>
      <c r="B43">
        <v>2475</v>
      </c>
      <c r="C43">
        <v>17563</v>
      </c>
      <c r="D43">
        <v>1456</v>
      </c>
      <c r="E43">
        <v>10188</v>
      </c>
      <c r="F43">
        <v>12663</v>
      </c>
      <c r="G43">
        <v>19019</v>
      </c>
      <c r="H43">
        <v>31682</v>
      </c>
      <c r="I43">
        <v>0.63247269740000001</v>
      </c>
      <c r="J43">
        <v>0.62961078609999999</v>
      </c>
      <c r="K43">
        <v>0.19545131490000001</v>
      </c>
      <c r="L43">
        <v>0.29830059060000003</v>
      </c>
      <c r="M43">
        <v>0.64307430160000001</v>
      </c>
      <c r="N43">
        <v>0.20406199999999999</v>
      </c>
      <c r="O43">
        <v>0.19086472400000001</v>
      </c>
    </row>
    <row r="44" spans="1:15" x14ac:dyDescent="0.15">
      <c r="A44" t="s">
        <v>61</v>
      </c>
      <c r="B44">
        <v>2257</v>
      </c>
      <c r="C44">
        <v>14012</v>
      </c>
      <c r="D44">
        <v>1300</v>
      </c>
      <c r="E44">
        <v>11395</v>
      </c>
      <c r="F44">
        <v>13652</v>
      </c>
      <c r="G44">
        <v>15312</v>
      </c>
      <c r="H44">
        <v>28964</v>
      </c>
      <c r="I44">
        <v>0.56169727940000003</v>
      </c>
      <c r="J44">
        <v>0.63452347480000004</v>
      </c>
      <c r="K44">
        <v>0.16532376209999999</v>
      </c>
      <c r="L44">
        <v>0.2623046081</v>
      </c>
      <c r="M44">
        <v>0.60473139750000005</v>
      </c>
      <c r="N44">
        <v>0.15054999999999999</v>
      </c>
      <c r="O44">
        <v>0.12936785819999999</v>
      </c>
    </row>
    <row r="45" spans="1:15" x14ac:dyDescent="0.15">
      <c r="A45" t="s">
        <v>62</v>
      </c>
      <c r="B45">
        <v>1759</v>
      </c>
      <c r="C45">
        <v>14948</v>
      </c>
      <c r="D45">
        <v>1333</v>
      </c>
      <c r="E45">
        <v>6495</v>
      </c>
      <c r="F45">
        <v>8254</v>
      </c>
      <c r="G45">
        <v>16281</v>
      </c>
      <c r="H45">
        <v>24535</v>
      </c>
      <c r="I45">
        <v>0.68094558790000004</v>
      </c>
      <c r="J45">
        <v>0.56888745149999997</v>
      </c>
      <c r="K45">
        <v>0.21310879569999999</v>
      </c>
      <c r="L45">
        <v>0.31006522120000002</v>
      </c>
      <c r="M45">
        <v>0.66131383560000001</v>
      </c>
      <c r="N45">
        <v>0.239539</v>
      </c>
      <c r="O45">
        <v>0.23075115099999999</v>
      </c>
    </row>
    <row r="48" spans="1:15" x14ac:dyDescent="0.15">
      <c r="A48" t="s">
        <v>63</v>
      </c>
      <c r="B48" t="s">
        <v>64</v>
      </c>
      <c r="C48" t="s">
        <v>95</v>
      </c>
      <c r="D48">
        <v>1</v>
      </c>
      <c r="E48" t="s">
        <v>104</v>
      </c>
      <c r="F48" t="s">
        <v>103</v>
      </c>
      <c r="G48" t="str">
        <f>CONCATENATE(C48,D48,E48,F48)</f>
        <v>if groupnum=1  then output &amp;Dssin._1;</v>
      </c>
      <c r="K48" t="s">
        <v>105</v>
      </c>
      <c r="M48" t="s">
        <v>137</v>
      </c>
      <c r="N48" t="s">
        <v>230</v>
      </c>
      <c r="O48" t="str">
        <f>CONCATENATE(M48,N48)</f>
        <v>%let id=1;%let DSin=lf.a1201_allscored_&amp;id.;%let ProbVar=pred_target;%let DVVar=target;%let cutoff=0.5;%let dscm=lf.a1200_confMat_&amp;id.;%GroupStat(&amp;DSin, &amp;ProbVar, &amp;DVVar, &amp;Cutoff, &amp;DSCM);</v>
      </c>
    </row>
    <row r="49" spans="3:15" x14ac:dyDescent="0.15">
      <c r="C49" t="s">
        <v>95</v>
      </c>
      <c r="D49">
        <v>2</v>
      </c>
      <c r="E49" t="s">
        <v>104</v>
      </c>
      <c r="F49" t="s">
        <v>102</v>
      </c>
      <c r="G49" t="str">
        <f t="shared" ref="G49:G79" si="1">CONCATENATE(C49,D49,E49,F49)</f>
        <v>if groupnum=2  then output &amp;Dssin._2;</v>
      </c>
      <c r="K49" t="s">
        <v>106</v>
      </c>
      <c r="M49" t="s">
        <v>139</v>
      </c>
      <c r="N49" t="s">
        <v>138</v>
      </c>
      <c r="O49" t="str">
        <f t="shared" ref="O49:O78" si="2">CONCATENATE(M49,N49)</f>
        <v>%let id=2;%let DSin=lf.a1201_allscored_&amp;id.;%let ProbVar=pred_target;%let DVVar=target;%let cutoff=0.5;%let dscm=lf.a1201_confMat_&amp;id.;%GroupStat(&amp;DSin, &amp;ProbVar, &amp;DVVar, &amp;Cutoff, &amp;DSCM);</v>
      </c>
    </row>
    <row r="50" spans="3:15" x14ac:dyDescent="0.15">
      <c r="C50" t="s">
        <v>95</v>
      </c>
      <c r="D50">
        <v>3</v>
      </c>
      <c r="E50" t="s">
        <v>104</v>
      </c>
      <c r="F50" t="s">
        <v>65</v>
      </c>
      <c r="G50" t="str">
        <f t="shared" si="1"/>
        <v>if groupnum=3  then output &amp;Dssin._3;</v>
      </c>
      <c r="K50" t="s">
        <v>107</v>
      </c>
      <c r="M50" t="s">
        <v>140</v>
      </c>
      <c r="N50" t="s">
        <v>138</v>
      </c>
      <c r="O50" t="str">
        <f t="shared" si="2"/>
        <v>%let id=3;%let DSin=lf.a1201_allscored_&amp;id.;%let ProbVar=pred_target;%let DVVar=target;%let cutoff=0.5;%let dscm=lf.a1201_confMat_&amp;id.;%GroupStat(&amp;DSin, &amp;ProbVar, &amp;DVVar, &amp;Cutoff, &amp;DSCM);</v>
      </c>
    </row>
    <row r="51" spans="3:15" x14ac:dyDescent="0.15">
      <c r="C51" t="s">
        <v>95</v>
      </c>
      <c r="D51">
        <v>4</v>
      </c>
      <c r="E51" t="s">
        <v>104</v>
      </c>
      <c r="F51" t="s">
        <v>66</v>
      </c>
      <c r="G51" t="str">
        <f t="shared" si="1"/>
        <v>if groupnum=4  then output &amp;Dssin._4;</v>
      </c>
      <c r="K51" t="s">
        <v>108</v>
      </c>
      <c r="M51" t="s">
        <v>141</v>
      </c>
      <c r="N51" t="s">
        <v>138</v>
      </c>
      <c r="O51" t="str">
        <f t="shared" si="2"/>
        <v>%let id=4;%let DSin=lf.a1201_allscored_&amp;id.;%let ProbVar=pred_target;%let DVVar=target;%let cutoff=0.5;%let dscm=lf.a1201_confMat_&amp;id.;%GroupStat(&amp;DSin, &amp;ProbVar, &amp;DVVar, &amp;Cutoff, &amp;DSCM);</v>
      </c>
    </row>
    <row r="52" spans="3:15" x14ac:dyDescent="0.15">
      <c r="C52" t="s">
        <v>95</v>
      </c>
      <c r="D52">
        <v>5</v>
      </c>
      <c r="E52" t="s">
        <v>104</v>
      </c>
      <c r="F52" t="s">
        <v>67</v>
      </c>
      <c r="G52" t="str">
        <f t="shared" si="1"/>
        <v>if groupnum=5  then output &amp;Dssin._5;</v>
      </c>
      <c r="K52" t="s">
        <v>109</v>
      </c>
      <c r="M52" t="s">
        <v>142</v>
      </c>
      <c r="N52" t="s">
        <v>138</v>
      </c>
      <c r="O52" t="str">
        <f t="shared" si="2"/>
        <v>%let id=5;%let DSin=lf.a1201_allscored_&amp;id.;%let ProbVar=pred_target;%let DVVar=target;%let cutoff=0.5;%let dscm=lf.a1201_confMat_&amp;id.;%GroupStat(&amp;DSin, &amp;ProbVar, &amp;DVVar, &amp;Cutoff, &amp;DSCM);</v>
      </c>
    </row>
    <row r="53" spans="3:15" x14ac:dyDescent="0.15">
      <c r="C53" t="s">
        <v>95</v>
      </c>
      <c r="D53">
        <v>6</v>
      </c>
      <c r="E53" t="s">
        <v>104</v>
      </c>
      <c r="F53" t="s">
        <v>68</v>
      </c>
      <c r="G53" t="str">
        <f t="shared" si="1"/>
        <v>if groupnum=6  then output &amp;Dssin._6;</v>
      </c>
      <c r="K53" t="s">
        <v>110</v>
      </c>
      <c r="M53" t="s">
        <v>143</v>
      </c>
      <c r="N53" t="s">
        <v>138</v>
      </c>
      <c r="O53" t="str">
        <f t="shared" si="2"/>
        <v>%let id=6;%let DSin=lf.a1201_allscored_&amp;id.;%let ProbVar=pred_target;%let DVVar=target;%let cutoff=0.5;%let dscm=lf.a1201_confMat_&amp;id.;%GroupStat(&amp;DSin, &amp;ProbVar, &amp;DVVar, &amp;Cutoff, &amp;DSCM);</v>
      </c>
    </row>
    <row r="54" spans="3:15" x14ac:dyDescent="0.15">
      <c r="C54" t="s">
        <v>95</v>
      </c>
      <c r="D54">
        <v>7</v>
      </c>
      <c r="E54" t="s">
        <v>104</v>
      </c>
      <c r="F54" t="s">
        <v>69</v>
      </c>
      <c r="G54" t="str">
        <f t="shared" si="1"/>
        <v>if groupnum=7  then output &amp;Dssin._7;</v>
      </c>
      <c r="K54" t="s">
        <v>111</v>
      </c>
      <c r="M54" t="s">
        <v>144</v>
      </c>
      <c r="N54" t="s">
        <v>138</v>
      </c>
      <c r="O54" t="str">
        <f t="shared" si="2"/>
        <v>%let id=7;%let DSin=lf.a1201_allscored_&amp;id.;%let ProbVar=pred_target;%let DVVar=target;%let cutoff=0.5;%let dscm=lf.a1201_confMat_&amp;id.;%GroupStat(&amp;DSin, &amp;ProbVar, &amp;DVVar, &amp;Cutoff, &amp;DSCM);</v>
      </c>
    </row>
    <row r="55" spans="3:15" x14ac:dyDescent="0.15">
      <c r="C55" t="s">
        <v>95</v>
      </c>
      <c r="D55">
        <v>8</v>
      </c>
      <c r="E55" t="s">
        <v>104</v>
      </c>
      <c r="F55" t="s">
        <v>70</v>
      </c>
      <c r="G55" t="str">
        <f t="shared" si="1"/>
        <v>if groupnum=8  then output &amp;Dssin._8;</v>
      </c>
      <c r="K55" t="s">
        <v>112</v>
      </c>
      <c r="M55" t="s">
        <v>145</v>
      </c>
      <c r="N55" t="s">
        <v>138</v>
      </c>
      <c r="O55" t="str">
        <f t="shared" si="2"/>
        <v>%let id=8;%let DSin=lf.a1201_allscored_&amp;id.;%let ProbVar=pred_target;%let DVVar=target;%let cutoff=0.5;%let dscm=lf.a1201_confMat_&amp;id.;%GroupStat(&amp;DSin, &amp;ProbVar, &amp;DVVar, &amp;Cutoff, &amp;DSCM);</v>
      </c>
    </row>
    <row r="56" spans="3:15" x14ac:dyDescent="0.15">
      <c r="C56" t="s">
        <v>95</v>
      </c>
      <c r="D56">
        <v>9</v>
      </c>
      <c r="E56" t="s">
        <v>104</v>
      </c>
      <c r="F56" t="s">
        <v>71</v>
      </c>
      <c r="G56" t="str">
        <f t="shared" si="1"/>
        <v>if groupnum=9  then output &amp;Dssin._9;</v>
      </c>
      <c r="K56" t="s">
        <v>113</v>
      </c>
      <c r="M56" t="s">
        <v>146</v>
      </c>
      <c r="N56" t="s">
        <v>138</v>
      </c>
      <c r="O56" t="str">
        <f t="shared" si="2"/>
        <v>%let id=9;%let DSin=lf.a1201_allscored_&amp;id.;%let ProbVar=pred_target;%let DVVar=target;%let cutoff=0.5;%let dscm=lf.a1201_confMat_&amp;id.;%GroupStat(&amp;DSin, &amp;ProbVar, &amp;DVVar, &amp;Cutoff, &amp;DSCM);</v>
      </c>
    </row>
    <row r="57" spans="3:15" x14ac:dyDescent="0.15">
      <c r="C57" t="s">
        <v>95</v>
      </c>
      <c r="D57">
        <v>10</v>
      </c>
      <c r="E57" t="s">
        <v>104</v>
      </c>
      <c r="F57" t="s">
        <v>72</v>
      </c>
      <c r="G57" t="str">
        <f t="shared" si="1"/>
        <v>if groupnum=10  then output &amp;Dssin._10;</v>
      </c>
      <c r="K57" t="s">
        <v>114</v>
      </c>
      <c r="M57" t="s">
        <v>147</v>
      </c>
      <c r="N57" t="s">
        <v>138</v>
      </c>
      <c r="O57" t="str">
        <f t="shared" si="2"/>
        <v>%let id=10;%let DSin=lf.a1201_allscored_&amp;id.;%let ProbVar=pred_target;%let DVVar=target;%let cutoff=0.5;%let dscm=lf.a1201_confMat_&amp;id.;%GroupStat(&amp;DSin, &amp;ProbVar, &amp;DVVar, &amp;Cutoff, &amp;DSCM);</v>
      </c>
    </row>
    <row r="58" spans="3:15" x14ac:dyDescent="0.15">
      <c r="C58" t="s">
        <v>95</v>
      </c>
      <c r="D58">
        <v>11</v>
      </c>
      <c r="E58" t="s">
        <v>104</v>
      </c>
      <c r="F58" t="s">
        <v>73</v>
      </c>
      <c r="G58" t="str">
        <f t="shared" si="1"/>
        <v>if groupnum=11  then output &amp;Dssin._11;</v>
      </c>
      <c r="K58" t="s">
        <v>115</v>
      </c>
      <c r="M58" t="s">
        <v>148</v>
      </c>
      <c r="N58" t="s">
        <v>138</v>
      </c>
      <c r="O58" t="str">
        <f t="shared" si="2"/>
        <v>%let id=11;%let DSin=lf.a1201_allscored_&amp;id.;%let ProbVar=pred_target;%let DVVar=target;%let cutoff=0.5;%let dscm=lf.a1201_confMat_&amp;id.;%GroupStat(&amp;DSin, &amp;ProbVar, &amp;DVVar, &amp;Cutoff, &amp;DSCM);</v>
      </c>
    </row>
    <row r="59" spans="3:15" x14ac:dyDescent="0.15">
      <c r="C59" t="s">
        <v>95</v>
      </c>
      <c r="D59">
        <v>12</v>
      </c>
      <c r="E59" t="s">
        <v>104</v>
      </c>
      <c r="F59" t="s">
        <v>74</v>
      </c>
      <c r="G59" t="str">
        <f t="shared" si="1"/>
        <v>if groupnum=12  then output &amp;Dssin._12;</v>
      </c>
      <c r="K59" t="s">
        <v>116</v>
      </c>
      <c r="M59" t="s">
        <v>149</v>
      </c>
      <c r="N59" t="s">
        <v>138</v>
      </c>
      <c r="O59" t="str">
        <f t="shared" si="2"/>
        <v>%let id=12;%let DSin=lf.a1201_allscored_&amp;id.;%let ProbVar=pred_target;%let DVVar=target;%let cutoff=0.5;%let dscm=lf.a1201_confMat_&amp;id.;%GroupStat(&amp;DSin, &amp;ProbVar, &amp;DVVar, &amp;Cutoff, &amp;DSCM);</v>
      </c>
    </row>
    <row r="60" spans="3:15" x14ac:dyDescent="0.15">
      <c r="C60" t="s">
        <v>95</v>
      </c>
      <c r="D60">
        <v>13</v>
      </c>
      <c r="E60" t="s">
        <v>104</v>
      </c>
      <c r="F60" t="s">
        <v>75</v>
      </c>
      <c r="G60" t="str">
        <f t="shared" si="1"/>
        <v>if groupnum=13  then output &amp;Dssin._13;</v>
      </c>
      <c r="K60" t="s">
        <v>117</v>
      </c>
      <c r="M60" t="s">
        <v>150</v>
      </c>
      <c r="N60" t="s">
        <v>138</v>
      </c>
      <c r="O60" t="str">
        <f t="shared" si="2"/>
        <v>%let id=13;%let DSin=lf.a1201_allscored_&amp;id.;%let ProbVar=pred_target;%let DVVar=target;%let cutoff=0.5;%let dscm=lf.a1201_confMat_&amp;id.;%GroupStat(&amp;DSin, &amp;ProbVar, &amp;DVVar, &amp;Cutoff, &amp;DSCM);</v>
      </c>
    </row>
    <row r="61" spans="3:15" x14ac:dyDescent="0.15">
      <c r="C61" t="s">
        <v>95</v>
      </c>
      <c r="D61">
        <v>14</v>
      </c>
      <c r="E61" t="s">
        <v>104</v>
      </c>
      <c r="F61" t="s">
        <v>76</v>
      </c>
      <c r="G61" t="str">
        <f t="shared" si="1"/>
        <v>if groupnum=14  then output &amp;Dssin._14;</v>
      </c>
      <c r="K61" t="s">
        <v>118</v>
      </c>
      <c r="M61" t="s">
        <v>151</v>
      </c>
      <c r="N61" t="s">
        <v>138</v>
      </c>
      <c r="O61" t="str">
        <f t="shared" si="2"/>
        <v>%let id=14;%let DSin=lf.a1201_allscored_&amp;id.;%let ProbVar=pred_target;%let DVVar=target;%let cutoff=0.5;%let dscm=lf.a1201_confMat_&amp;id.;%GroupStat(&amp;DSin, &amp;ProbVar, &amp;DVVar, &amp;Cutoff, &amp;DSCM);</v>
      </c>
    </row>
    <row r="62" spans="3:15" x14ac:dyDescent="0.15">
      <c r="C62" t="s">
        <v>95</v>
      </c>
      <c r="D62">
        <v>15</v>
      </c>
      <c r="E62" t="s">
        <v>104</v>
      </c>
      <c r="F62" t="s">
        <v>77</v>
      </c>
      <c r="G62" t="str">
        <f t="shared" si="1"/>
        <v>if groupnum=15  then output &amp;Dssin._15;</v>
      </c>
      <c r="K62" t="s">
        <v>119</v>
      </c>
      <c r="M62" t="s">
        <v>152</v>
      </c>
      <c r="N62" t="s">
        <v>138</v>
      </c>
      <c r="O62" t="str">
        <f t="shared" si="2"/>
        <v>%let id=15;%let DSin=lf.a1201_allscored_&amp;id.;%let ProbVar=pred_target;%let DVVar=target;%let cutoff=0.5;%let dscm=lf.a1201_confMat_&amp;id.;%GroupStat(&amp;DSin, &amp;ProbVar, &amp;DVVar, &amp;Cutoff, &amp;DSCM);</v>
      </c>
    </row>
    <row r="63" spans="3:15" x14ac:dyDescent="0.15">
      <c r="C63" t="s">
        <v>95</v>
      </c>
      <c r="D63">
        <v>16</v>
      </c>
      <c r="E63" t="s">
        <v>104</v>
      </c>
      <c r="F63" t="s">
        <v>78</v>
      </c>
      <c r="G63" t="str">
        <f t="shared" si="1"/>
        <v>if groupnum=16  then output &amp;Dssin._16;</v>
      </c>
      <c r="K63" t="s">
        <v>120</v>
      </c>
      <c r="M63" t="s">
        <v>153</v>
      </c>
      <c r="N63" t="s">
        <v>138</v>
      </c>
      <c r="O63" t="str">
        <f t="shared" si="2"/>
        <v>%let id=16;%let DSin=lf.a1201_allscored_&amp;id.;%let ProbVar=pred_target;%let DVVar=target;%let cutoff=0.5;%let dscm=lf.a1201_confMat_&amp;id.;%GroupStat(&amp;DSin, &amp;ProbVar, &amp;DVVar, &amp;Cutoff, &amp;DSCM);</v>
      </c>
    </row>
    <row r="64" spans="3:15" x14ac:dyDescent="0.15">
      <c r="C64" t="s">
        <v>95</v>
      </c>
      <c r="D64">
        <v>17</v>
      </c>
      <c r="E64" t="s">
        <v>104</v>
      </c>
      <c r="F64" t="s">
        <v>79</v>
      </c>
      <c r="G64" t="str">
        <f t="shared" si="1"/>
        <v>if groupnum=17  then output &amp;Dssin._17;</v>
      </c>
      <c r="K64" t="s">
        <v>121</v>
      </c>
      <c r="M64" t="s">
        <v>154</v>
      </c>
      <c r="N64" t="s">
        <v>138</v>
      </c>
      <c r="O64" t="str">
        <f t="shared" si="2"/>
        <v>%let id=17;%let DSin=lf.a1201_allscored_&amp;id.;%let ProbVar=pred_target;%let DVVar=target;%let cutoff=0.5;%let dscm=lf.a1201_confMat_&amp;id.;%GroupStat(&amp;DSin, &amp;ProbVar, &amp;DVVar, &amp;Cutoff, &amp;DSCM);</v>
      </c>
    </row>
    <row r="65" spans="3:15" x14ac:dyDescent="0.15">
      <c r="C65" t="s">
        <v>95</v>
      </c>
      <c r="D65">
        <v>18</v>
      </c>
      <c r="E65" t="s">
        <v>104</v>
      </c>
      <c r="F65" t="s">
        <v>80</v>
      </c>
      <c r="G65" t="str">
        <f t="shared" si="1"/>
        <v>if groupnum=18  then output &amp;Dssin._18;</v>
      </c>
      <c r="K65" t="s">
        <v>122</v>
      </c>
      <c r="M65" t="s">
        <v>155</v>
      </c>
      <c r="N65" t="s">
        <v>138</v>
      </c>
      <c r="O65" t="str">
        <f t="shared" si="2"/>
        <v>%let id=18;%let DSin=lf.a1201_allscored_&amp;id.;%let ProbVar=pred_target;%let DVVar=target;%let cutoff=0.5;%let dscm=lf.a1201_confMat_&amp;id.;%GroupStat(&amp;DSin, &amp;ProbVar, &amp;DVVar, &amp;Cutoff, &amp;DSCM);</v>
      </c>
    </row>
    <row r="66" spans="3:15" x14ac:dyDescent="0.15">
      <c r="C66" t="s">
        <v>95</v>
      </c>
      <c r="D66">
        <v>19</v>
      </c>
      <c r="E66" t="s">
        <v>104</v>
      </c>
      <c r="F66" t="s">
        <v>81</v>
      </c>
      <c r="G66" t="str">
        <f t="shared" si="1"/>
        <v>if groupnum=19  then output &amp;Dssin._19;</v>
      </c>
      <c r="K66" t="s">
        <v>123</v>
      </c>
      <c r="M66" t="s">
        <v>156</v>
      </c>
      <c r="N66" t="s">
        <v>138</v>
      </c>
      <c r="O66" t="str">
        <f t="shared" si="2"/>
        <v>%let id=19;%let DSin=lf.a1201_allscored_&amp;id.;%let ProbVar=pred_target;%let DVVar=target;%let cutoff=0.5;%let dscm=lf.a1201_confMat_&amp;id.;%GroupStat(&amp;DSin, &amp;ProbVar, &amp;DVVar, &amp;Cutoff, &amp;DSCM);</v>
      </c>
    </row>
    <row r="67" spans="3:15" x14ac:dyDescent="0.15">
      <c r="C67" t="s">
        <v>95</v>
      </c>
      <c r="D67">
        <v>20</v>
      </c>
      <c r="E67" t="s">
        <v>104</v>
      </c>
      <c r="F67" t="s">
        <v>82</v>
      </c>
      <c r="G67" t="str">
        <f t="shared" si="1"/>
        <v>if groupnum=20  then output &amp;Dssin._20;</v>
      </c>
      <c r="K67" t="s">
        <v>124</v>
      </c>
      <c r="M67" t="s">
        <v>157</v>
      </c>
      <c r="N67" t="s">
        <v>138</v>
      </c>
      <c r="O67" t="str">
        <f t="shared" si="2"/>
        <v>%let id=20;%let DSin=lf.a1201_allscored_&amp;id.;%let ProbVar=pred_target;%let DVVar=target;%let cutoff=0.5;%let dscm=lf.a1201_confMat_&amp;id.;%GroupStat(&amp;DSin, &amp;ProbVar, &amp;DVVar, &amp;Cutoff, &amp;DSCM);</v>
      </c>
    </row>
    <row r="68" spans="3:15" x14ac:dyDescent="0.15">
      <c r="C68" t="s">
        <v>95</v>
      </c>
      <c r="D68">
        <v>21</v>
      </c>
      <c r="E68" t="s">
        <v>104</v>
      </c>
      <c r="F68" t="s">
        <v>83</v>
      </c>
      <c r="G68" t="str">
        <f t="shared" si="1"/>
        <v>if groupnum=21  then output &amp;Dssin._21;</v>
      </c>
      <c r="K68" t="s">
        <v>125</v>
      </c>
      <c r="M68" t="s">
        <v>158</v>
      </c>
      <c r="N68" t="s">
        <v>138</v>
      </c>
      <c r="O68" t="str">
        <f t="shared" si="2"/>
        <v>%let id=21;%let DSin=lf.a1201_allscored_&amp;id.;%let ProbVar=pred_target;%let DVVar=target;%let cutoff=0.5;%let dscm=lf.a1201_confMat_&amp;id.;%GroupStat(&amp;DSin, &amp;ProbVar, &amp;DVVar, &amp;Cutoff, &amp;DSCM);</v>
      </c>
    </row>
    <row r="69" spans="3:15" x14ac:dyDescent="0.15">
      <c r="C69" t="s">
        <v>95</v>
      </c>
      <c r="D69">
        <v>22</v>
      </c>
      <c r="E69" t="s">
        <v>104</v>
      </c>
      <c r="F69" t="s">
        <v>84</v>
      </c>
      <c r="G69" t="str">
        <f t="shared" si="1"/>
        <v>if groupnum=22  then output &amp;Dssin._22;</v>
      </c>
      <c r="K69" t="s">
        <v>126</v>
      </c>
      <c r="M69" t="s">
        <v>159</v>
      </c>
      <c r="N69" t="s">
        <v>138</v>
      </c>
      <c r="O69" t="str">
        <f t="shared" si="2"/>
        <v>%let id=22;%let DSin=lf.a1201_allscored_&amp;id.;%let ProbVar=pred_target;%let DVVar=target;%let cutoff=0.5;%let dscm=lf.a1201_confMat_&amp;id.;%GroupStat(&amp;DSin, &amp;ProbVar, &amp;DVVar, &amp;Cutoff, &amp;DSCM);</v>
      </c>
    </row>
    <row r="70" spans="3:15" x14ac:dyDescent="0.15">
      <c r="C70" t="s">
        <v>95</v>
      </c>
      <c r="D70">
        <v>23</v>
      </c>
      <c r="E70" t="s">
        <v>104</v>
      </c>
      <c r="F70" t="s">
        <v>85</v>
      </c>
      <c r="G70" t="str">
        <f t="shared" si="1"/>
        <v>if groupnum=23  then output &amp;Dssin._23;</v>
      </c>
      <c r="K70" t="s">
        <v>127</v>
      </c>
      <c r="M70" t="s">
        <v>160</v>
      </c>
      <c r="N70" t="s">
        <v>138</v>
      </c>
      <c r="O70" t="str">
        <f t="shared" si="2"/>
        <v>%let id=23;%let DSin=lf.a1201_allscored_&amp;id.;%let ProbVar=pred_target;%let DVVar=target;%let cutoff=0.5;%let dscm=lf.a1201_confMat_&amp;id.;%GroupStat(&amp;DSin, &amp;ProbVar, &amp;DVVar, &amp;Cutoff, &amp;DSCM);</v>
      </c>
    </row>
    <row r="71" spans="3:15" x14ac:dyDescent="0.15">
      <c r="C71" t="s">
        <v>95</v>
      </c>
      <c r="D71">
        <v>24</v>
      </c>
      <c r="E71" t="s">
        <v>104</v>
      </c>
      <c r="F71" t="s">
        <v>86</v>
      </c>
      <c r="G71" t="str">
        <f t="shared" si="1"/>
        <v>if groupnum=24  then output &amp;Dssin._24;</v>
      </c>
      <c r="K71" t="s">
        <v>128</v>
      </c>
      <c r="M71" t="s">
        <v>161</v>
      </c>
      <c r="N71" t="s">
        <v>138</v>
      </c>
      <c r="O71" t="str">
        <f t="shared" si="2"/>
        <v>%let id=24;%let DSin=lf.a1201_allscored_&amp;id.;%let ProbVar=pred_target;%let DVVar=target;%let cutoff=0.5;%let dscm=lf.a1201_confMat_&amp;id.;%GroupStat(&amp;DSin, &amp;ProbVar, &amp;DVVar, &amp;Cutoff, &amp;DSCM);</v>
      </c>
    </row>
    <row r="72" spans="3:15" x14ac:dyDescent="0.15">
      <c r="C72" t="s">
        <v>95</v>
      </c>
      <c r="D72">
        <v>25</v>
      </c>
      <c r="E72" t="s">
        <v>104</v>
      </c>
      <c r="F72" t="s">
        <v>87</v>
      </c>
      <c r="G72" t="str">
        <f t="shared" si="1"/>
        <v>if groupnum=25  then output &amp;Dssin._25;</v>
      </c>
      <c r="K72" t="s">
        <v>129</v>
      </c>
      <c r="M72" t="s">
        <v>162</v>
      </c>
      <c r="N72" t="s">
        <v>138</v>
      </c>
      <c r="O72" t="str">
        <f t="shared" si="2"/>
        <v>%let id=25;%let DSin=lf.a1201_allscored_&amp;id.;%let ProbVar=pred_target;%let DVVar=target;%let cutoff=0.5;%let dscm=lf.a1201_confMat_&amp;id.;%GroupStat(&amp;DSin, &amp;ProbVar, &amp;DVVar, &amp;Cutoff, &amp;DSCM);</v>
      </c>
    </row>
    <row r="73" spans="3:15" x14ac:dyDescent="0.15">
      <c r="C73" t="s">
        <v>95</v>
      </c>
      <c r="D73">
        <v>26</v>
      </c>
      <c r="E73" t="s">
        <v>104</v>
      </c>
      <c r="F73" t="s">
        <v>88</v>
      </c>
      <c r="G73" t="str">
        <f t="shared" si="1"/>
        <v>if groupnum=26  then output &amp;Dssin._26;</v>
      </c>
      <c r="K73" t="s">
        <v>130</v>
      </c>
      <c r="M73" t="s">
        <v>163</v>
      </c>
      <c r="N73" t="s">
        <v>138</v>
      </c>
      <c r="O73" t="str">
        <f t="shared" si="2"/>
        <v>%let id=26;%let DSin=lf.a1201_allscored_&amp;id.;%let ProbVar=pred_target;%let DVVar=target;%let cutoff=0.5;%let dscm=lf.a1201_confMat_&amp;id.;%GroupStat(&amp;DSin, &amp;ProbVar, &amp;DVVar, &amp;Cutoff, &amp;DSCM);</v>
      </c>
    </row>
    <row r="74" spans="3:15" x14ac:dyDescent="0.15">
      <c r="C74" t="s">
        <v>95</v>
      </c>
      <c r="D74">
        <v>27</v>
      </c>
      <c r="E74" t="s">
        <v>104</v>
      </c>
      <c r="F74" t="s">
        <v>89</v>
      </c>
      <c r="G74" t="str">
        <f t="shared" si="1"/>
        <v>if groupnum=27  then output &amp;Dssin._27;</v>
      </c>
      <c r="K74" t="s">
        <v>131</v>
      </c>
      <c r="M74" t="s">
        <v>164</v>
      </c>
      <c r="N74" t="s">
        <v>138</v>
      </c>
      <c r="O74" t="str">
        <f t="shared" si="2"/>
        <v>%let id=27;%let DSin=lf.a1201_allscored_&amp;id.;%let ProbVar=pred_target;%let DVVar=target;%let cutoff=0.5;%let dscm=lf.a1201_confMat_&amp;id.;%GroupStat(&amp;DSin, &amp;ProbVar, &amp;DVVar, &amp;Cutoff, &amp;DSCM);</v>
      </c>
    </row>
    <row r="75" spans="3:15" x14ac:dyDescent="0.15">
      <c r="C75" t="s">
        <v>95</v>
      </c>
      <c r="D75">
        <v>28</v>
      </c>
      <c r="E75" t="s">
        <v>104</v>
      </c>
      <c r="F75" t="s">
        <v>90</v>
      </c>
      <c r="G75" t="str">
        <f t="shared" si="1"/>
        <v>if groupnum=28  then output &amp;Dssin._28;</v>
      </c>
      <c r="K75" t="s">
        <v>132</v>
      </c>
      <c r="M75" t="s">
        <v>165</v>
      </c>
      <c r="N75" t="s">
        <v>138</v>
      </c>
      <c r="O75" t="str">
        <f t="shared" si="2"/>
        <v>%let id=28;%let DSin=lf.a1201_allscored_&amp;id.;%let ProbVar=pred_target;%let DVVar=target;%let cutoff=0.5;%let dscm=lf.a1201_confMat_&amp;id.;%GroupStat(&amp;DSin, &amp;ProbVar, &amp;DVVar, &amp;Cutoff, &amp;DSCM);</v>
      </c>
    </row>
    <row r="76" spans="3:15" x14ac:dyDescent="0.15">
      <c r="C76" t="s">
        <v>95</v>
      </c>
      <c r="D76">
        <v>29</v>
      </c>
      <c r="E76" t="s">
        <v>104</v>
      </c>
      <c r="F76" t="s">
        <v>91</v>
      </c>
      <c r="G76" t="str">
        <f t="shared" si="1"/>
        <v>if groupnum=29  then output &amp;Dssin._29;</v>
      </c>
      <c r="K76" t="s">
        <v>133</v>
      </c>
      <c r="M76" t="s">
        <v>166</v>
      </c>
      <c r="N76" t="s">
        <v>138</v>
      </c>
      <c r="O76" t="str">
        <f t="shared" si="2"/>
        <v>%let id=29;%let DSin=lf.a1201_allscored_&amp;id.;%let ProbVar=pred_target;%let DVVar=target;%let cutoff=0.5;%let dscm=lf.a1201_confMat_&amp;id.;%GroupStat(&amp;DSin, &amp;ProbVar, &amp;DVVar, &amp;Cutoff, &amp;DSCM);</v>
      </c>
    </row>
    <row r="77" spans="3:15" x14ac:dyDescent="0.15">
      <c r="C77" t="s">
        <v>95</v>
      </c>
      <c r="D77">
        <v>30</v>
      </c>
      <c r="E77" t="s">
        <v>104</v>
      </c>
      <c r="F77" t="s">
        <v>92</v>
      </c>
      <c r="G77" t="str">
        <f t="shared" si="1"/>
        <v>if groupnum=30  then output &amp;Dssin._30;</v>
      </c>
      <c r="K77" t="s">
        <v>134</v>
      </c>
      <c r="M77" t="s">
        <v>167</v>
      </c>
      <c r="N77" t="s">
        <v>138</v>
      </c>
      <c r="O77" t="str">
        <f t="shared" si="2"/>
        <v>%let id=30;%let DSin=lf.a1201_allscored_&amp;id.;%let ProbVar=pred_target;%let DVVar=target;%let cutoff=0.5;%let dscm=lf.a1201_confMat_&amp;id.;%GroupStat(&amp;DSin, &amp;ProbVar, &amp;DVVar, &amp;Cutoff, &amp;DSCM);</v>
      </c>
    </row>
    <row r="78" spans="3:15" x14ac:dyDescent="0.15">
      <c r="C78" t="s">
        <v>95</v>
      </c>
      <c r="D78">
        <v>31</v>
      </c>
      <c r="E78" t="s">
        <v>104</v>
      </c>
      <c r="F78" t="s">
        <v>93</v>
      </c>
      <c r="G78" t="str">
        <f t="shared" si="1"/>
        <v>if groupnum=31  then output &amp;Dssin._31;</v>
      </c>
      <c r="K78" t="s">
        <v>135</v>
      </c>
      <c r="M78" t="s">
        <v>168</v>
      </c>
      <c r="N78" t="s">
        <v>138</v>
      </c>
      <c r="O78" t="str">
        <f t="shared" si="2"/>
        <v>%let id=31;%let DSin=lf.a1201_allscored_&amp;id.;%let ProbVar=pred_target;%let DVVar=target;%let cutoff=0.5;%let dscm=lf.a1201_confMat_&amp;id.;%GroupStat(&amp;DSin, &amp;ProbVar, &amp;DVVar, &amp;Cutoff, &amp;DSCM);</v>
      </c>
    </row>
    <row r="79" spans="3:15" x14ac:dyDescent="0.15">
      <c r="C79" t="s">
        <v>95</v>
      </c>
      <c r="D79">
        <v>32</v>
      </c>
      <c r="E79" t="s">
        <v>104</v>
      </c>
      <c r="F79" t="s">
        <v>94</v>
      </c>
      <c r="G79" t="str">
        <f t="shared" si="1"/>
        <v>if groupnum=32  then output &amp;Dssin._32;</v>
      </c>
      <c r="K79" t="s">
        <v>136</v>
      </c>
    </row>
    <row r="80" spans="3:15" x14ac:dyDescent="0.15">
      <c r="C80" t="s">
        <v>95</v>
      </c>
      <c r="D80">
        <v>33</v>
      </c>
      <c r="E80" t="s">
        <v>104</v>
      </c>
      <c r="F80" t="s">
        <v>96</v>
      </c>
    </row>
    <row r="81" spans="3:8" x14ac:dyDescent="0.15">
      <c r="C81" t="s">
        <v>95</v>
      </c>
      <c r="D81">
        <v>34</v>
      </c>
      <c r="E81" t="s">
        <v>104</v>
      </c>
      <c r="F81" t="s">
        <v>97</v>
      </c>
    </row>
    <row r="82" spans="3:8" x14ac:dyDescent="0.15">
      <c r="C82" t="s">
        <v>95</v>
      </c>
      <c r="D82">
        <v>35</v>
      </c>
      <c r="E82" t="s">
        <v>104</v>
      </c>
      <c r="F82" t="s">
        <v>98</v>
      </c>
    </row>
    <row r="83" spans="3:8" x14ac:dyDescent="0.15">
      <c r="C83" t="s">
        <v>95</v>
      </c>
      <c r="D83">
        <v>36</v>
      </c>
      <c r="E83" t="s">
        <v>104</v>
      </c>
      <c r="F83" t="s">
        <v>99</v>
      </c>
    </row>
    <row r="84" spans="3:8" x14ac:dyDescent="0.15">
      <c r="C84" t="s">
        <v>95</v>
      </c>
      <c r="D84">
        <v>37</v>
      </c>
      <c r="E84" t="s">
        <v>104</v>
      </c>
      <c r="F84" t="s">
        <v>100</v>
      </c>
    </row>
    <row r="85" spans="3:8" x14ac:dyDescent="0.15">
      <c r="C85" t="s">
        <v>95</v>
      </c>
      <c r="D85">
        <v>38</v>
      </c>
      <c r="E85" t="s">
        <v>104</v>
      </c>
      <c r="F85" t="s">
        <v>101</v>
      </c>
    </row>
    <row r="86" spans="3:8" x14ac:dyDescent="0.15">
      <c r="H86" t="s">
        <v>169</v>
      </c>
    </row>
    <row r="87" spans="3:8" x14ac:dyDescent="0.15">
      <c r="H87" t="s">
        <v>170</v>
      </c>
    </row>
    <row r="88" spans="3:8" x14ac:dyDescent="0.15">
      <c r="H88" t="s">
        <v>171</v>
      </c>
    </row>
    <row r="89" spans="3:8" x14ac:dyDescent="0.15">
      <c r="H89" t="s">
        <v>172</v>
      </c>
    </row>
    <row r="90" spans="3:8" x14ac:dyDescent="0.15">
      <c r="H90" t="s">
        <v>173</v>
      </c>
    </row>
    <row r="91" spans="3:8" x14ac:dyDescent="0.15">
      <c r="H91" t="s">
        <v>174</v>
      </c>
    </row>
    <row r="92" spans="3:8" x14ac:dyDescent="0.15">
      <c r="H92" t="s">
        <v>175</v>
      </c>
    </row>
    <row r="93" spans="3:8" x14ac:dyDescent="0.15">
      <c r="H93" t="s">
        <v>176</v>
      </c>
    </row>
    <row r="94" spans="3:8" x14ac:dyDescent="0.15">
      <c r="H94" t="s">
        <v>177</v>
      </c>
    </row>
    <row r="95" spans="3:8" x14ac:dyDescent="0.15">
      <c r="H95" t="s">
        <v>178</v>
      </c>
    </row>
    <row r="96" spans="3:8" x14ac:dyDescent="0.15">
      <c r="H96" t="s">
        <v>179</v>
      </c>
    </row>
    <row r="97" spans="8:8" x14ac:dyDescent="0.15">
      <c r="H97" t="s">
        <v>180</v>
      </c>
    </row>
    <row r="98" spans="8:8" x14ac:dyDescent="0.15">
      <c r="H98" t="s">
        <v>181</v>
      </c>
    </row>
    <row r="99" spans="8:8" x14ac:dyDescent="0.15">
      <c r="H99" t="s">
        <v>182</v>
      </c>
    </row>
    <row r="100" spans="8:8" x14ac:dyDescent="0.15">
      <c r="H100" t="s">
        <v>183</v>
      </c>
    </row>
    <row r="101" spans="8:8" x14ac:dyDescent="0.15">
      <c r="H101" t="s">
        <v>184</v>
      </c>
    </row>
    <row r="102" spans="8:8" x14ac:dyDescent="0.15">
      <c r="H102" t="s">
        <v>185</v>
      </c>
    </row>
    <row r="103" spans="8:8" x14ac:dyDescent="0.15">
      <c r="H103" t="s">
        <v>186</v>
      </c>
    </row>
    <row r="104" spans="8:8" x14ac:dyDescent="0.15">
      <c r="H104" t="s">
        <v>187</v>
      </c>
    </row>
    <row r="105" spans="8:8" x14ac:dyDescent="0.15">
      <c r="H105" t="s">
        <v>188</v>
      </c>
    </row>
    <row r="106" spans="8:8" x14ac:dyDescent="0.15">
      <c r="H106" t="s">
        <v>189</v>
      </c>
    </row>
    <row r="107" spans="8:8" x14ac:dyDescent="0.15">
      <c r="H107" t="s">
        <v>190</v>
      </c>
    </row>
    <row r="108" spans="8:8" x14ac:dyDescent="0.15">
      <c r="H108" t="s">
        <v>191</v>
      </c>
    </row>
    <row r="109" spans="8:8" x14ac:dyDescent="0.15">
      <c r="H109" t="s">
        <v>192</v>
      </c>
    </row>
    <row r="110" spans="8:8" x14ac:dyDescent="0.15">
      <c r="H110" t="s">
        <v>193</v>
      </c>
    </row>
    <row r="111" spans="8:8" x14ac:dyDescent="0.15">
      <c r="H111" t="s">
        <v>194</v>
      </c>
    </row>
    <row r="112" spans="8:8" x14ac:dyDescent="0.15">
      <c r="H112" t="s">
        <v>195</v>
      </c>
    </row>
    <row r="113" spans="8:8" x14ac:dyDescent="0.15">
      <c r="H113" t="s">
        <v>196</v>
      </c>
    </row>
    <row r="114" spans="8:8" x14ac:dyDescent="0.15">
      <c r="H114" t="s">
        <v>197</v>
      </c>
    </row>
    <row r="115" spans="8:8" x14ac:dyDescent="0.15">
      <c r="H115" t="s">
        <v>198</v>
      </c>
    </row>
    <row r="116" spans="8:8" x14ac:dyDescent="0.15">
      <c r="H116" t="s">
        <v>199</v>
      </c>
    </row>
    <row r="117" spans="8:8" x14ac:dyDescent="0.15">
      <c r="H117" t="s">
        <v>200</v>
      </c>
    </row>
    <row r="118" spans="8:8" x14ac:dyDescent="0.15">
      <c r="H118" t="s">
        <v>201</v>
      </c>
    </row>
    <row r="119" spans="8:8" x14ac:dyDescent="0.15">
      <c r="H119" t="s">
        <v>202</v>
      </c>
    </row>
    <row r="120" spans="8:8" x14ac:dyDescent="0.15">
      <c r="H120" t="s">
        <v>203</v>
      </c>
    </row>
    <row r="121" spans="8:8" x14ac:dyDescent="0.15">
      <c r="H121" t="s">
        <v>204</v>
      </c>
    </row>
    <row r="122" spans="8:8" x14ac:dyDescent="0.15">
      <c r="H122" t="s">
        <v>205</v>
      </c>
    </row>
    <row r="123" spans="8:8" x14ac:dyDescent="0.15">
      <c r="H123" t="s">
        <v>206</v>
      </c>
    </row>
    <row r="124" spans="8:8" x14ac:dyDescent="0.15">
      <c r="H124" t="s">
        <v>207</v>
      </c>
    </row>
    <row r="125" spans="8:8" x14ac:dyDescent="0.15">
      <c r="H125" t="s">
        <v>208</v>
      </c>
    </row>
    <row r="126" spans="8:8" x14ac:dyDescent="0.15">
      <c r="H126" t="s">
        <v>209</v>
      </c>
    </row>
    <row r="127" spans="8:8" x14ac:dyDescent="0.15">
      <c r="H127" t="s">
        <v>210</v>
      </c>
    </row>
    <row r="128" spans="8:8" x14ac:dyDescent="0.15">
      <c r="H128" t="s">
        <v>211</v>
      </c>
    </row>
    <row r="129" spans="8:8" x14ac:dyDescent="0.15">
      <c r="H129" t="s">
        <v>212</v>
      </c>
    </row>
    <row r="130" spans="8:8" x14ac:dyDescent="0.15">
      <c r="H130" t="s">
        <v>213</v>
      </c>
    </row>
    <row r="131" spans="8:8" x14ac:dyDescent="0.15">
      <c r="H131" t="s">
        <v>214</v>
      </c>
    </row>
    <row r="132" spans="8:8" x14ac:dyDescent="0.15">
      <c r="H132" t="s">
        <v>215</v>
      </c>
    </row>
    <row r="133" spans="8:8" x14ac:dyDescent="0.15">
      <c r="H133" t="s">
        <v>216</v>
      </c>
    </row>
    <row r="134" spans="8:8" x14ac:dyDescent="0.15">
      <c r="H134" t="s">
        <v>217</v>
      </c>
    </row>
    <row r="135" spans="8:8" x14ac:dyDescent="0.15">
      <c r="H135" t="s">
        <v>218</v>
      </c>
    </row>
    <row r="136" spans="8:8" x14ac:dyDescent="0.15">
      <c r="H136" t="s">
        <v>219</v>
      </c>
    </row>
    <row r="137" spans="8:8" x14ac:dyDescent="0.15">
      <c r="H137" t="s">
        <v>220</v>
      </c>
    </row>
    <row r="138" spans="8:8" x14ac:dyDescent="0.15">
      <c r="H138" t="s">
        <v>221</v>
      </c>
    </row>
    <row r="139" spans="8:8" x14ac:dyDescent="0.15">
      <c r="H139" t="s">
        <v>222</v>
      </c>
    </row>
    <row r="140" spans="8:8" x14ac:dyDescent="0.15">
      <c r="H140" t="s">
        <v>223</v>
      </c>
    </row>
    <row r="141" spans="8:8" x14ac:dyDescent="0.15">
      <c r="H141" t="s">
        <v>224</v>
      </c>
    </row>
    <row r="142" spans="8:8" x14ac:dyDescent="0.15">
      <c r="H142" t="s">
        <v>225</v>
      </c>
    </row>
    <row r="143" spans="8:8" x14ac:dyDescent="0.15">
      <c r="H143" t="s">
        <v>226</v>
      </c>
    </row>
    <row r="144" spans="8:8" x14ac:dyDescent="0.15">
      <c r="H144" t="s">
        <v>227</v>
      </c>
    </row>
    <row r="145" spans="8:8" x14ac:dyDescent="0.15">
      <c r="H145" t="s">
        <v>228</v>
      </c>
    </row>
    <row r="146" spans="8:8" x14ac:dyDescent="0.15">
      <c r="H146" t="s">
        <v>229</v>
      </c>
    </row>
  </sheetData>
  <sortState ref="A22:H25">
    <sortCondition descending="1" ref="F22:F25"/>
  </sortState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3"/>
  <sheetViews>
    <sheetView tabSelected="1" workbookViewId="0">
      <selection activeCell="J7" sqref="J7:N10"/>
    </sheetView>
  </sheetViews>
  <sheetFormatPr defaultRowHeight="13.5" x14ac:dyDescent="0.15"/>
  <sheetData>
    <row r="1" spans="1:15" ht="16.5" x14ac:dyDescent="0.35">
      <c r="A1" s="15" t="s">
        <v>234</v>
      </c>
      <c r="B1" s="15">
        <v>23586</v>
      </c>
      <c r="C1" s="15">
        <v>6624</v>
      </c>
      <c r="D1" s="15">
        <v>16962</v>
      </c>
      <c r="E1" s="16">
        <v>0.20390237998495758</v>
      </c>
      <c r="F1" s="16">
        <v>0.71915499999999999</v>
      </c>
      <c r="G1" s="17">
        <v>0.87668058762412804</v>
      </c>
      <c r="H1" s="17">
        <v>6.5087677948218889E-2</v>
      </c>
    </row>
    <row r="2" spans="1:15" ht="16.5" x14ac:dyDescent="0.35">
      <c r="A2" s="15" t="s">
        <v>233</v>
      </c>
      <c r="B2" s="15">
        <v>13251</v>
      </c>
      <c r="C2" s="15">
        <v>3883</v>
      </c>
      <c r="D2" s="15">
        <v>9368</v>
      </c>
      <c r="E2" s="16">
        <v>0.11455568715257666</v>
      </c>
      <c r="F2" s="16">
        <v>0.70696599999999998</v>
      </c>
      <c r="G2" s="17">
        <v>0.35934340744730986</v>
      </c>
      <c r="H2" s="17">
        <v>1.2824260095548108E-2</v>
      </c>
    </row>
    <row r="3" spans="1:15" ht="16.5" x14ac:dyDescent="0.35">
      <c r="A3" s="15" t="s">
        <v>232</v>
      </c>
      <c r="B3" s="15">
        <v>26620</v>
      </c>
      <c r="C3" s="15">
        <v>8943</v>
      </c>
      <c r="D3" s="15">
        <v>17677</v>
      </c>
      <c r="E3" s="16">
        <v>0.23013149135926275</v>
      </c>
      <c r="F3" s="16">
        <v>0.66405000000000003</v>
      </c>
      <c r="G3" s="17">
        <v>0.27442075789850551</v>
      </c>
      <c r="H3" s="17">
        <v>7.9843464120525117E-3</v>
      </c>
    </row>
    <row r="4" spans="1:15" ht="16.5" x14ac:dyDescent="0.35">
      <c r="A4" s="15" t="s">
        <v>231</v>
      </c>
      <c r="B4" s="15">
        <v>52216</v>
      </c>
      <c r="C4" s="15">
        <v>22801</v>
      </c>
      <c r="D4" s="15">
        <v>29415</v>
      </c>
      <c r="E4" s="16">
        <v>0.45141044150320297</v>
      </c>
      <c r="F4" s="16">
        <v>0.56333299999999997</v>
      </c>
      <c r="G4" s="17">
        <v>-1.8315447499255913E-2</v>
      </c>
      <c r="H4" s="17">
        <v>2.5463348867316399E-3</v>
      </c>
    </row>
    <row r="6" spans="1:15" x14ac:dyDescent="0.15">
      <c r="J6" t="s">
        <v>237</v>
      </c>
      <c r="K6" t="s">
        <v>238</v>
      </c>
      <c r="L6" t="s">
        <v>239</v>
      </c>
      <c r="M6" t="s">
        <v>240</v>
      </c>
      <c r="N6" t="s">
        <v>241</v>
      </c>
    </row>
    <row r="7" spans="1:15" ht="16.5" x14ac:dyDescent="0.35">
      <c r="A7" s="18" t="s">
        <v>235</v>
      </c>
      <c r="B7" s="18">
        <v>73793</v>
      </c>
      <c r="C7" s="18">
        <v>26470</v>
      </c>
      <c r="D7" s="18">
        <v>47323</v>
      </c>
      <c r="E7" s="19">
        <v>0.63794489638895857</v>
      </c>
      <c r="F7" s="19">
        <v>0.64129400000000003</v>
      </c>
      <c r="G7" s="20">
        <v>2.838882293247234E-2</v>
      </c>
      <c r="H7" s="20">
        <v>5.1214254961772724E-4</v>
      </c>
      <c r="J7">
        <v>1</v>
      </c>
      <c r="K7">
        <v>88552</v>
      </c>
      <c r="L7">
        <v>31382</v>
      </c>
      <c r="M7">
        <v>57170</v>
      </c>
      <c r="N7">
        <v>0.64560899999999999</v>
      </c>
      <c r="O7">
        <f>K7/SUM($K$7:$K$10)</f>
        <v>0.76553733369066246</v>
      </c>
    </row>
    <row r="8" spans="1:15" ht="16.5" x14ac:dyDescent="0.35">
      <c r="A8" s="18" t="s">
        <v>34</v>
      </c>
      <c r="B8" s="18">
        <v>19637</v>
      </c>
      <c r="C8" s="18">
        <v>7184</v>
      </c>
      <c r="D8" s="18">
        <v>12453</v>
      </c>
      <c r="E8" s="19">
        <v>0.16976303891141406</v>
      </c>
      <c r="F8" s="19">
        <v>0.63415999999999995</v>
      </c>
      <c r="G8" s="20">
        <v>-2.490369330334872E-3</v>
      </c>
      <c r="H8" s="20">
        <v>1.0532129373492662E-6</v>
      </c>
      <c r="J8">
        <v>2</v>
      </c>
      <c r="K8">
        <v>11100</v>
      </c>
      <c r="L8">
        <v>4338</v>
      </c>
      <c r="M8">
        <v>6762</v>
      </c>
      <c r="N8">
        <v>0.60918899999999998</v>
      </c>
      <c r="O8" s="21">
        <f t="shared" ref="O8:O10" si="0">K8/SUM($K$7:$K$10)</f>
        <v>9.5960163564531048E-2</v>
      </c>
    </row>
    <row r="9" spans="1:15" ht="16.5" x14ac:dyDescent="0.35">
      <c r="A9" s="18" t="s">
        <v>33</v>
      </c>
      <c r="B9" s="18">
        <v>22243</v>
      </c>
      <c r="C9" s="18">
        <v>8597</v>
      </c>
      <c r="D9" s="18">
        <v>13646</v>
      </c>
      <c r="E9" s="19">
        <v>0.1922920646996274</v>
      </c>
      <c r="F9" s="19">
        <v>0.61349600000000004</v>
      </c>
      <c r="G9" s="20">
        <v>-9.0562462868523014E-2</v>
      </c>
      <c r="H9" s="20">
        <v>1.5954727719410583E-3</v>
      </c>
      <c r="J9">
        <v>3</v>
      </c>
      <c r="K9">
        <v>10013</v>
      </c>
      <c r="L9">
        <v>3951</v>
      </c>
      <c r="M9">
        <v>6062</v>
      </c>
      <c r="N9">
        <v>0.60541299999999998</v>
      </c>
      <c r="O9" s="21">
        <f t="shared" si="0"/>
        <v>8.656298358303148E-2</v>
      </c>
    </row>
    <row r="10" spans="1:15" x14ac:dyDescent="0.15">
      <c r="J10">
        <v>4</v>
      </c>
      <c r="K10">
        <v>6008</v>
      </c>
      <c r="L10">
        <v>2580</v>
      </c>
      <c r="M10">
        <v>3428</v>
      </c>
      <c r="N10">
        <v>0.570573</v>
      </c>
      <c r="O10" s="21">
        <f t="shared" si="0"/>
        <v>5.1939519161775007E-2</v>
      </c>
    </row>
    <row r="12" spans="1:15" ht="16.5" x14ac:dyDescent="0.35">
      <c r="A12" s="22" t="s">
        <v>236</v>
      </c>
      <c r="B12" s="22">
        <v>13734</v>
      </c>
      <c r="C12" s="22">
        <v>4503</v>
      </c>
      <c r="D12" s="22">
        <v>9231</v>
      </c>
      <c r="E12" s="23">
        <v>0.11873125102660084</v>
      </c>
      <c r="F12" s="23">
        <v>0.67212799999999995</v>
      </c>
      <c r="G12" s="24">
        <v>0.16522794761913207</v>
      </c>
      <c r="H12" s="24">
        <v>3.1637682749320563E-3</v>
      </c>
    </row>
    <row r="13" spans="1:15" ht="16.5" x14ac:dyDescent="0.35">
      <c r="A13" s="22">
        <v>0</v>
      </c>
      <c r="B13" s="22">
        <v>101939</v>
      </c>
      <c r="C13" s="22">
        <v>37748</v>
      </c>
      <c r="D13" s="22">
        <v>64191</v>
      </c>
      <c r="E13" s="23">
        <v>0.88126874897339913</v>
      </c>
      <c r="F13" s="23">
        <v>0.62970000000000004</v>
      </c>
      <c r="G13" s="24">
        <v>-2.1665076275610796E-2</v>
      </c>
      <c r="H13" s="24">
        <v>4.1484072145445887E-4</v>
      </c>
    </row>
  </sheetData>
  <sortState ref="A12:H13">
    <sortCondition descending="1" ref="F12:F13"/>
  </sortState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06.变量相关性</vt:lpstr>
      <vt:lpstr>Sheet1</vt:lpstr>
      <vt:lpstr>Sheet2</vt:lpstr>
    </vt:vector>
  </TitlesOfParts>
  <Company>Lenovo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李鹏远</dc:creator>
  <cp:lastModifiedBy>李鹏远</cp:lastModifiedBy>
  <dcterms:created xsi:type="dcterms:W3CDTF">2017-09-15T02:08:36Z</dcterms:created>
  <dcterms:modified xsi:type="dcterms:W3CDTF">2017-09-30T09:55:00Z</dcterms:modified>
</cp:coreProperties>
</file>