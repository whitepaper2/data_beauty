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python\kaggle\data_beauty\vba\002sub_labelnum\"/>
    </mc:Choice>
  </mc:AlternateContent>
  <bookViews>
    <workbookView xWindow="720" yWindow="270" windowWidth="11100" windowHeight="5325"/>
  </bookViews>
  <sheets>
    <sheet name="var_corr" sheetId="1" r:id="rId1"/>
    <sheet name="Sheet1" sheetId="2" r:id="rId2"/>
  </sheets>
  <definedNames>
    <definedName name="_xlnm._FilterDatabase" localSheetId="1" hidden="1">Sheet1!$A$1:$AS$30</definedName>
    <definedName name="_xlnm._FilterDatabase" localSheetId="0" hidden="1">var_corr!$A$7:$AP$7</definedName>
    <definedName name="var_corr">var_corr!$A$1:$AP$44</definedName>
  </definedNames>
  <calcPr calcId="152511"/>
</workbook>
</file>

<file path=xl/calcChain.xml><?xml version="1.0" encoding="utf-8"?>
<calcChain xmlns="http://schemas.openxmlformats.org/spreadsheetml/2006/main">
  <c r="D1" i="2" l="1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C1" i="2"/>
  <c r="AP3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O3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N3" i="2"/>
  <c r="AN4" i="2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M3" i="2"/>
  <c r="AM4" i="2"/>
  <c r="AM5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H3" i="2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6" i="2"/>
  <c r="D7" i="2"/>
  <c r="D8" i="2"/>
  <c r="D9" i="2"/>
  <c r="D3" i="2"/>
  <c r="D4" i="2"/>
  <c r="D5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D2" i="2"/>
  <c r="C2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2" i="2"/>
</calcChain>
</file>

<file path=xl/sharedStrings.xml><?xml version="1.0" encoding="utf-8"?>
<sst xmlns="http://schemas.openxmlformats.org/spreadsheetml/2006/main" count="128" uniqueCount="47">
  <si>
    <t>_TYPE_</t>
  </si>
  <si>
    <t>_NAME_</t>
  </si>
  <si>
    <t>MOST_CONTACT_3M_woe</t>
  </si>
  <si>
    <t>INTIME_PAY_woe</t>
  </si>
  <si>
    <t>city_woe</t>
  </si>
  <si>
    <t>ONTIME_PAY_woe</t>
  </si>
  <si>
    <t>person_sex_woe</t>
  </si>
  <si>
    <t>RECENT_CONTACT_DAY_woe</t>
  </si>
  <si>
    <t>education_woe</t>
  </si>
  <si>
    <t>OTHER_PERSON_TYPE_woe</t>
  </si>
  <si>
    <t>BPTP_RATIO_woe</t>
  </si>
  <si>
    <t>FAMILY_STATE_woe</t>
  </si>
  <si>
    <t>IS_SUIXINHUAN_woe</t>
  </si>
  <si>
    <t>CERTF_INTERVAL_YEARS_woe</t>
  </si>
  <si>
    <t>F_SAME_REG_woe</t>
  </si>
  <si>
    <t>INTER3_COUNT_woe</t>
  </si>
  <si>
    <t>HIS_DUESEQ_woe</t>
  </si>
  <si>
    <t>CON5_DUE_TIMES_woe</t>
  </si>
  <si>
    <t>MAX_CONDUE1_woe</t>
  </si>
  <si>
    <t>APR_COUNT_woe</t>
  </si>
  <si>
    <t>DUE_CONTACT_RATIO_woe</t>
  </si>
  <si>
    <t>TOTAL_WK_EXP_woe</t>
  </si>
  <si>
    <t>CERT_4_INITAL_woe</t>
  </si>
  <si>
    <t>EXTRA_INIT_RATE_woe</t>
  </si>
  <si>
    <t>ACTUALPAYPRINCIPLE_woe</t>
  </si>
  <si>
    <t>CSFQ_woe</t>
  </si>
  <si>
    <t>APP_COUNT_woe</t>
  </si>
  <si>
    <t>APR_CREDIT_AMOUNT_woe</t>
  </si>
  <si>
    <t>KPTP_RATIO_woe</t>
  </si>
  <si>
    <t>PAYFINE_woe</t>
  </si>
  <si>
    <t>CON1_DUE_TIMES_woe</t>
  </si>
  <si>
    <t>CON10_DUE_TIMES_woe</t>
  </si>
  <si>
    <t>HIS_PTPDAYS_woe</t>
  </si>
  <si>
    <t>is_ssi_woe</t>
  </si>
  <si>
    <t>MAX_ROLL_SEQ_woe</t>
  </si>
  <si>
    <t>ACTUALPAYINTEAMT_woe</t>
  </si>
  <si>
    <t>ACTUALPAYFINE_woe</t>
  </si>
  <si>
    <t>DUE_PERIODS_woe</t>
  </si>
  <si>
    <t>PRICE_woe</t>
  </si>
  <si>
    <t>pos_type_woe</t>
  </si>
  <si>
    <t>INSURE_STATUS_woe</t>
  </si>
  <si>
    <t>INSURE_TYPE_woe</t>
  </si>
  <si>
    <t>MEAN</t>
  </si>
  <si>
    <t/>
  </si>
  <si>
    <t>STD</t>
  </si>
  <si>
    <t>N</t>
  </si>
  <si>
    <t>CORR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</si>
</sst>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E9967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6" borderId="0" xfId="0" applyFont="1" applyFill="1"/>
    <xf numFmtId="0" fontId="0" fillId="8" borderId="0" xfId="0" applyFill="1"/>
    <xf numFmtId="0" fontId="0" fillId="9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49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P49" sqref="AP49"/>
    </sheetView>
  </sheetViews>
  <sheetFormatPr defaultRowHeight="13.5" x14ac:dyDescent="0.15"/>
  <cols>
    <col min="1" max="1" width="9" customWidth="1"/>
    <col min="2" max="2" width="25" customWidth="1"/>
    <col min="3" max="3" width="20" customWidth="1"/>
    <col min="4" max="4" width="15" customWidth="1"/>
    <col min="5" max="5" width="13" customWidth="1"/>
    <col min="6" max="7" width="15" customWidth="1"/>
    <col min="8" max="8" width="23" customWidth="1"/>
    <col min="9" max="9" width="14" customWidth="1"/>
    <col min="10" max="10" width="22" customWidth="1"/>
    <col min="11" max="11" width="15" customWidth="1"/>
    <col min="12" max="12" width="17" customWidth="1"/>
    <col min="13" max="13" width="18" customWidth="1"/>
    <col min="14" max="14" width="25" customWidth="1"/>
    <col min="15" max="15" width="15" customWidth="1"/>
    <col min="16" max="16" width="17" customWidth="1"/>
    <col min="17" max="17" width="15" customWidth="1"/>
    <col min="18" max="18" width="19" customWidth="1"/>
    <col min="19" max="19" width="16" customWidth="1"/>
    <col min="20" max="20" width="14" customWidth="1"/>
    <col min="21" max="21" width="22" customWidth="1"/>
    <col min="22" max="22" width="17" customWidth="1"/>
    <col min="23" max="23" width="18" customWidth="1"/>
    <col min="24" max="24" width="20" customWidth="1"/>
    <col min="25" max="25" width="23" customWidth="1"/>
    <col min="26" max="26" width="13" customWidth="1"/>
    <col min="27" max="27" width="14" customWidth="1"/>
    <col min="28" max="28" width="22" customWidth="1"/>
    <col min="29" max="29" width="15" customWidth="1"/>
    <col min="30" max="30" width="13" customWidth="1"/>
    <col min="31" max="31" width="19" customWidth="1"/>
    <col min="32" max="32" width="20" customWidth="1"/>
    <col min="33" max="33" width="16" customWidth="1"/>
    <col min="34" max="34" width="13" customWidth="1"/>
    <col min="35" max="35" width="17" customWidth="1"/>
    <col min="36" max="36" width="21" customWidth="1"/>
    <col min="37" max="37" width="18" customWidth="1"/>
    <col min="38" max="38" width="16" customWidth="1"/>
    <col min="39" max="40" width="13" customWidth="1"/>
    <col min="41" max="41" width="18" customWidth="1"/>
    <col min="42" max="42" width="16" customWidth="1"/>
  </cols>
  <sheetData>
    <row r="1" spans="1:42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</row>
    <row r="2" spans="1:42" x14ac:dyDescent="0.15">
      <c r="A2" s="3" t="s">
        <v>42</v>
      </c>
      <c r="B2" s="3" t="s">
        <v>43</v>
      </c>
      <c r="C2" s="4">
        <v>-0.10489794395097637</v>
      </c>
      <c r="D2" s="4">
        <v>-1.6005611573019136E-3</v>
      </c>
      <c r="E2" s="4">
        <v>-2.6990369653215166E-2</v>
      </c>
      <c r="F2" s="4">
        <v>-1.1161362224903536E-2</v>
      </c>
      <c r="G2" s="4">
        <v>-2.1805165623681545E-2</v>
      </c>
      <c r="H2" s="4">
        <v>-2.1460238042970869E-2</v>
      </c>
      <c r="I2" s="4">
        <v>-7.9943309032460309E-3</v>
      </c>
      <c r="J2" s="4">
        <v>-5.0049067397176282E-3</v>
      </c>
      <c r="K2" s="4">
        <v>-0.20705418672604323</v>
      </c>
      <c r="L2" s="4">
        <v>-6.9286461161812817E-3</v>
      </c>
      <c r="M2" s="4">
        <v>-1.503553701203021E-2</v>
      </c>
      <c r="N2" s="4">
        <v>-4.1195323420888568E-3</v>
      </c>
      <c r="O2" s="4">
        <v>-5.9418337305265319E-4</v>
      </c>
      <c r="P2" s="4">
        <v>-3.3507584090973659E-3</v>
      </c>
      <c r="Q2" s="4">
        <v>-5.9129916263311322E-3</v>
      </c>
      <c r="R2" s="4">
        <v>-6.9042105439082263E-2</v>
      </c>
      <c r="S2" s="4">
        <v>-2.4098830330103484E-2</v>
      </c>
      <c r="T2" s="4">
        <v>-9.6781339471611199E-4</v>
      </c>
      <c r="U2" s="4">
        <v>-1.7876405896035145E-3</v>
      </c>
      <c r="V2" s="4">
        <v>-5.236132742976841E-4</v>
      </c>
      <c r="W2" s="4">
        <v>-1.7535076689878536E-2</v>
      </c>
      <c r="X2" s="4">
        <v>-2.3135045278605379E-3</v>
      </c>
      <c r="Y2" s="4">
        <v>-1.0833977770570477E-3</v>
      </c>
      <c r="Z2" s="4">
        <v>-4.1754099372346871E-2</v>
      </c>
      <c r="AA2" s="4">
        <v>-1.7498557591628286E-3</v>
      </c>
      <c r="AB2" s="4">
        <v>-3.1694220144531647E-3</v>
      </c>
      <c r="AC2" s="4">
        <v>-0.19883790129811921</v>
      </c>
      <c r="AD2" s="4">
        <v>-8.8725877834582551E-2</v>
      </c>
      <c r="AE2" s="4">
        <v>-2.5120611925532388E-2</v>
      </c>
      <c r="AF2" s="4">
        <v>-8.4548580714537094E-2</v>
      </c>
      <c r="AG2" s="4">
        <v>-1.9182211569320502E-2</v>
      </c>
      <c r="AH2" s="4">
        <v>-2.3751124688311705E-3</v>
      </c>
      <c r="AI2" s="4">
        <v>-8.3458819104525767E-2</v>
      </c>
      <c r="AJ2" s="4">
        <v>-1.2979853724531336E-3</v>
      </c>
      <c r="AK2" s="4">
        <v>-8.0032453583021579E-2</v>
      </c>
      <c r="AL2" s="4">
        <v>-2.0078242006044138E-3</v>
      </c>
      <c r="AM2" s="4">
        <v>-1.6688591367711971E-2</v>
      </c>
      <c r="AN2" s="4">
        <v>-4.5337790495089672E-3</v>
      </c>
      <c r="AO2" s="4">
        <v>-5.143942691335484E-3</v>
      </c>
      <c r="AP2" s="4">
        <v>-2.9276079111446719E-3</v>
      </c>
    </row>
    <row r="3" spans="1:42" x14ac:dyDescent="0.15">
      <c r="A3" s="3" t="s">
        <v>44</v>
      </c>
      <c r="B3" s="3" t="s">
        <v>43</v>
      </c>
      <c r="C3" s="4">
        <v>0.49134305324014793</v>
      </c>
      <c r="D3" s="4">
        <v>6.4282811737258749E-2</v>
      </c>
      <c r="E3" s="4">
        <v>0.25628571901853348</v>
      </c>
      <c r="F3" s="4">
        <v>0.16965555339528898</v>
      </c>
      <c r="G3" s="4">
        <v>0.24041396775458371</v>
      </c>
      <c r="H3" s="4">
        <v>0.22264887912750636</v>
      </c>
      <c r="I3" s="4">
        <v>0.14549787804069284</v>
      </c>
      <c r="J3" s="4">
        <v>0.11412203646599481</v>
      </c>
      <c r="K3" s="5">
        <v>0.7306248175550446</v>
      </c>
      <c r="L3" s="4">
        <v>0.13242876592032221</v>
      </c>
      <c r="M3" s="4">
        <v>0.2078012849070516</v>
      </c>
      <c r="N3" s="4">
        <v>0.10522957639250256</v>
      </c>
      <c r="O3" s="4">
        <v>3.8693285261170114E-2</v>
      </c>
      <c r="P3" s="4">
        <v>8.7216766145263497E-2</v>
      </c>
      <c r="Q3" s="4">
        <v>0.12198413062164824</v>
      </c>
      <c r="R3" s="4">
        <v>0.40738579031469568</v>
      </c>
      <c r="S3" s="4">
        <v>0.24710150400798467</v>
      </c>
      <c r="T3" s="4">
        <v>4.921938597839335E-2</v>
      </c>
      <c r="U3" s="4">
        <v>6.6439470359606928E-2</v>
      </c>
      <c r="V3" s="4">
        <v>3.6295501314454366E-2</v>
      </c>
      <c r="W3" s="4">
        <v>0.20859308017312192</v>
      </c>
      <c r="X3" s="4">
        <v>8.0803840824243994E-2</v>
      </c>
      <c r="Y3" s="4">
        <v>5.3510947088704901E-2</v>
      </c>
      <c r="Z3" s="4">
        <v>0.33545018866183202</v>
      </c>
      <c r="AA3" s="4">
        <v>6.5079672818743564E-2</v>
      </c>
      <c r="AB3" s="4">
        <v>8.8615867819360913E-2</v>
      </c>
      <c r="AC3" s="5">
        <v>0.71092557179416804</v>
      </c>
      <c r="AD3" s="4">
        <v>0.44357907706133981</v>
      </c>
      <c r="AE3" s="4">
        <v>0.25943426040347106</v>
      </c>
      <c r="AF3" s="4">
        <v>0.43692470775754377</v>
      </c>
      <c r="AG3" s="4">
        <v>0.21146276184803997</v>
      </c>
      <c r="AH3" s="4">
        <v>7.8764751420706394E-2</v>
      </c>
      <c r="AI3" s="4">
        <v>0.43672353565126099</v>
      </c>
      <c r="AJ3" s="4">
        <v>5.6535808245580209E-2</v>
      </c>
      <c r="AK3" s="4">
        <v>0.42172832564862989</v>
      </c>
      <c r="AL3" s="4">
        <v>7.1649823900910084E-2</v>
      </c>
      <c r="AM3" s="4">
        <v>0.20412980143814438</v>
      </c>
      <c r="AN3" s="4">
        <v>0.10749290771973738</v>
      </c>
      <c r="AO3" s="4">
        <v>0.11616434178510368</v>
      </c>
      <c r="AP3" s="4">
        <v>8.8214510809673574E-2</v>
      </c>
    </row>
    <row r="4" spans="1:42" x14ac:dyDescent="0.15">
      <c r="A4" s="3" t="s">
        <v>45</v>
      </c>
      <c r="B4" s="3" t="s">
        <v>43</v>
      </c>
      <c r="C4" s="2">
        <v>1035358</v>
      </c>
      <c r="D4" s="2">
        <v>1035358</v>
      </c>
      <c r="E4" s="2">
        <v>1035358</v>
      </c>
      <c r="F4" s="2">
        <v>1035358</v>
      </c>
      <c r="G4" s="2">
        <v>1035358</v>
      </c>
      <c r="H4" s="2">
        <v>1035358</v>
      </c>
      <c r="I4" s="2">
        <v>1035358</v>
      </c>
      <c r="J4" s="2">
        <v>1035358</v>
      </c>
      <c r="K4" s="2">
        <v>1035358</v>
      </c>
      <c r="L4" s="2">
        <v>1035358</v>
      </c>
      <c r="M4" s="2">
        <v>1035358</v>
      </c>
      <c r="N4" s="2">
        <v>1035358</v>
      </c>
      <c r="O4" s="2">
        <v>1035358</v>
      </c>
      <c r="P4" s="2">
        <v>1035358</v>
      </c>
      <c r="Q4" s="2">
        <v>1035358</v>
      </c>
      <c r="R4" s="2">
        <v>1035358</v>
      </c>
      <c r="S4" s="2">
        <v>1035358</v>
      </c>
      <c r="T4" s="2">
        <v>1035358</v>
      </c>
      <c r="U4" s="2">
        <v>1035358</v>
      </c>
      <c r="V4" s="2">
        <v>1035358</v>
      </c>
      <c r="W4" s="2">
        <v>1035358</v>
      </c>
      <c r="X4" s="2">
        <v>1035358</v>
      </c>
      <c r="Y4" s="2">
        <v>1035358</v>
      </c>
      <c r="Z4" s="2">
        <v>1035358</v>
      </c>
      <c r="AA4" s="2">
        <v>1035358</v>
      </c>
      <c r="AB4" s="2">
        <v>1035358</v>
      </c>
      <c r="AC4" s="2">
        <v>1035358</v>
      </c>
      <c r="AD4" s="2">
        <v>1035358</v>
      </c>
      <c r="AE4" s="2">
        <v>1035358</v>
      </c>
      <c r="AF4" s="2">
        <v>1035358</v>
      </c>
      <c r="AG4" s="2">
        <v>1035358</v>
      </c>
      <c r="AH4" s="2">
        <v>1035358</v>
      </c>
      <c r="AI4" s="2">
        <v>1035358</v>
      </c>
      <c r="AJ4" s="2">
        <v>1035358</v>
      </c>
      <c r="AK4" s="2">
        <v>1035358</v>
      </c>
      <c r="AL4" s="2">
        <v>1035358</v>
      </c>
      <c r="AM4" s="2">
        <v>1035358</v>
      </c>
      <c r="AN4" s="2">
        <v>1035358</v>
      </c>
      <c r="AO4" s="2">
        <v>1035358</v>
      </c>
      <c r="AP4" s="2">
        <v>1035358</v>
      </c>
    </row>
    <row r="5" spans="1:42" x14ac:dyDescent="0.15">
      <c r="A5" s="3" t="s">
        <v>46</v>
      </c>
      <c r="B5" s="3" t="s">
        <v>2</v>
      </c>
      <c r="C5" s="2">
        <v>1</v>
      </c>
      <c r="D5" s="4">
        <v>2.9422464357759453E-2</v>
      </c>
      <c r="E5" s="4">
        <v>4.2822781142171036E-2</v>
      </c>
      <c r="F5" s="4">
        <v>3.3832846366750879E-2</v>
      </c>
      <c r="G5" s="4">
        <v>1.2124101852438672E-2</v>
      </c>
      <c r="H5" s="4">
        <v>0.25425959781486462</v>
      </c>
      <c r="I5" s="4">
        <v>5.6131266174473719E-2</v>
      </c>
      <c r="J5" s="4">
        <v>6.6803611710683941E-2</v>
      </c>
      <c r="K5" s="4">
        <v>0.24679490207509683</v>
      </c>
      <c r="L5" s="4">
        <v>4.7038789231610464E-2</v>
      </c>
      <c r="M5" s="4">
        <v>2.5225720758766963E-2</v>
      </c>
      <c r="N5" s="4">
        <v>1.9813097121029306E-2</v>
      </c>
      <c r="O5" s="4">
        <v>-1.669198877973602E-2</v>
      </c>
      <c r="P5" s="4">
        <v>1.1789912631716314E-2</v>
      </c>
      <c r="Q5" s="4">
        <v>2.7175750655346997E-2</v>
      </c>
      <c r="R5" s="4">
        <v>0.17324608017482412</v>
      </c>
      <c r="S5" s="4">
        <v>7.3822845907487014E-2</v>
      </c>
      <c r="T5" s="4">
        <v>-5.5619307386417405E-2</v>
      </c>
      <c r="U5" s="4">
        <v>0.18390631046373174</v>
      </c>
      <c r="V5" s="4">
        <v>-1.8027035352215025E-2</v>
      </c>
      <c r="W5" s="4">
        <v>3.2688009842762336E-2</v>
      </c>
      <c r="X5" s="4">
        <v>1.1354354222436084E-2</v>
      </c>
      <c r="Y5" s="4">
        <v>2.0927696563546292E-2</v>
      </c>
      <c r="Z5" s="4">
        <v>7.4100500535412922E-2</v>
      </c>
      <c r="AA5" s="4">
        <v>-2.3197576947069289E-2</v>
      </c>
      <c r="AB5" s="4">
        <v>-4.9598708678682067E-2</v>
      </c>
      <c r="AC5" s="4">
        <v>0.24600799000522164</v>
      </c>
      <c r="AD5" s="4">
        <v>0.24874363615342132</v>
      </c>
      <c r="AE5" s="4">
        <v>3.5288074608849668E-2</v>
      </c>
      <c r="AF5" s="4">
        <v>0.25560140720314312</v>
      </c>
      <c r="AG5" s="4">
        <v>-7.3147570355230451E-2</v>
      </c>
      <c r="AH5" s="4">
        <v>2.2987713674950758E-2</v>
      </c>
      <c r="AI5" s="4">
        <v>0.20714548522514015</v>
      </c>
      <c r="AJ5" s="4">
        <v>-1.2101057411402126E-2</v>
      </c>
      <c r="AK5" s="4">
        <v>0.23997471006387364</v>
      </c>
      <c r="AL5" s="4">
        <v>1.0738239021976317E-2</v>
      </c>
      <c r="AM5" s="4">
        <v>1.2101914008611298E-2</v>
      </c>
      <c r="AN5" s="4">
        <v>1.3922761720464081E-2</v>
      </c>
      <c r="AO5" s="4">
        <v>3.0340393302621772E-2</v>
      </c>
      <c r="AP5" s="4">
        <v>1.6403022666218826E-2</v>
      </c>
    </row>
    <row r="6" spans="1:42" x14ac:dyDescent="0.15">
      <c r="A6" s="3" t="s">
        <v>46</v>
      </c>
      <c r="B6" s="3" t="s">
        <v>3</v>
      </c>
      <c r="C6" s="4">
        <v>2.9422464357759453E-2</v>
      </c>
      <c r="D6" s="2">
        <v>1</v>
      </c>
      <c r="E6" s="4">
        <v>-7.1579468274189373E-3</v>
      </c>
      <c r="F6" s="5">
        <v>0.78690450407042134</v>
      </c>
      <c r="G6" s="4">
        <v>4.2913646323709621E-2</v>
      </c>
      <c r="H6" s="4">
        <v>5.0439367351406339E-3</v>
      </c>
      <c r="I6" s="4">
        <v>5.1793014248812767E-2</v>
      </c>
      <c r="J6" s="4">
        <v>8.3651787059350821E-2</v>
      </c>
      <c r="K6" s="4">
        <v>9.7640394035858752E-2</v>
      </c>
      <c r="L6" s="4">
        <v>-5.4397224822065431E-3</v>
      </c>
      <c r="M6" s="4">
        <v>5.5025482134172354E-2</v>
      </c>
      <c r="N6" s="4">
        <v>4.3520210889697507E-2</v>
      </c>
      <c r="O6" s="4">
        <v>2.9123673455040629E-2</v>
      </c>
      <c r="P6" s="4">
        <v>-3.127088284130762E-3</v>
      </c>
      <c r="Q6" s="4">
        <v>-0.23372130570321045</v>
      </c>
      <c r="R6" s="4">
        <v>5.267601792924987E-2</v>
      </c>
      <c r="S6" s="4">
        <v>2.0284871830719385E-2</v>
      </c>
      <c r="T6" s="4">
        <v>-0.34274759199471583</v>
      </c>
      <c r="U6" s="4">
        <v>8.5832482770994874E-3</v>
      </c>
      <c r="V6" s="4">
        <v>2.2424217700345615E-2</v>
      </c>
      <c r="W6" s="4">
        <v>-2.8359944022523947E-3</v>
      </c>
      <c r="X6" s="4">
        <v>1.9719515488105029E-2</v>
      </c>
      <c r="Y6" s="4">
        <v>0.35838406960074337</v>
      </c>
      <c r="Z6" s="4">
        <v>-6.0193128529099992E-2</v>
      </c>
      <c r="AA6" s="4">
        <v>-0.17993002949888703</v>
      </c>
      <c r="AB6" s="4">
        <v>-0.30274188619125975</v>
      </c>
      <c r="AC6" s="4">
        <v>0.10068766988970966</v>
      </c>
      <c r="AD6" s="4">
        <v>2.3033243033520752E-5</v>
      </c>
      <c r="AE6" s="4">
        <v>0.10815011569831846</v>
      </c>
      <c r="AF6" s="4">
        <v>5.066793108377967E-2</v>
      </c>
      <c r="AG6" s="4">
        <v>4.395229705972995E-3</v>
      </c>
      <c r="AH6" s="4">
        <v>2.4987501069220389E-2</v>
      </c>
      <c r="AI6" s="4">
        <v>1.8589804646371776E-3</v>
      </c>
      <c r="AJ6" s="4">
        <v>-0.40881915812474801</v>
      </c>
      <c r="AK6" s="4">
        <v>7.2817721804387652E-3</v>
      </c>
      <c r="AL6" s="4">
        <v>0.3789985770534724</v>
      </c>
      <c r="AM6" s="4">
        <v>-2.9225662520848985E-2</v>
      </c>
      <c r="AN6" s="4">
        <v>5.5375577410305146E-2</v>
      </c>
      <c r="AO6" s="4">
        <v>-0.11106063940510437</v>
      </c>
      <c r="AP6" s="4">
        <v>2.6301649017269665E-2</v>
      </c>
    </row>
    <row r="7" spans="1:42" x14ac:dyDescent="0.15">
      <c r="A7" s="3" t="s">
        <v>46</v>
      </c>
      <c r="B7" s="3" t="s">
        <v>4</v>
      </c>
      <c r="C7" s="4">
        <v>4.2822781142171036E-2</v>
      </c>
      <c r="D7" s="4">
        <v>-7.1579468274189373E-3</v>
      </c>
      <c r="E7" s="2">
        <v>1</v>
      </c>
      <c r="F7" s="4">
        <v>-1.0253964331208554E-2</v>
      </c>
      <c r="G7" s="4">
        <v>4.7663212575118866E-2</v>
      </c>
      <c r="H7" s="4">
        <v>5.376676080970573E-2</v>
      </c>
      <c r="I7" s="4">
        <v>3.0132933429087669E-2</v>
      </c>
      <c r="J7" s="4">
        <v>-1.2875153628828014E-2</v>
      </c>
      <c r="K7" s="4">
        <v>4.4203203097081457E-2</v>
      </c>
      <c r="L7" s="4">
        <v>4.9459137884723565E-2</v>
      </c>
      <c r="M7" s="4">
        <v>6.9802027258714691E-2</v>
      </c>
      <c r="N7" s="4">
        <v>3.4470294478089586E-3</v>
      </c>
      <c r="O7" s="4">
        <v>-9.4675467832377749E-2</v>
      </c>
      <c r="P7" s="4">
        <v>-9.9056773256673159E-3</v>
      </c>
      <c r="Q7" s="4">
        <v>2.9547185694446458E-3</v>
      </c>
      <c r="R7" s="4">
        <v>3.2633079233981267E-2</v>
      </c>
      <c r="S7" s="4">
        <v>2.1525129258522558E-2</v>
      </c>
      <c r="T7" s="4">
        <v>-3.1013814504068607E-2</v>
      </c>
      <c r="U7" s="4">
        <v>4.2907013688780464E-2</v>
      </c>
      <c r="V7" s="4">
        <v>8.1194314297505527E-3</v>
      </c>
      <c r="W7" s="6">
        <v>0.62748418337838796</v>
      </c>
      <c r="X7" s="4">
        <v>-1.1796183403943636E-2</v>
      </c>
      <c r="Y7" s="4">
        <v>2.2133468761658937E-2</v>
      </c>
      <c r="Z7" s="4">
        <v>2.7992903823629203E-2</v>
      </c>
      <c r="AA7" s="4">
        <v>-2.3183338030370673E-2</v>
      </c>
      <c r="AB7" s="4">
        <v>-1.4702102282721398E-2</v>
      </c>
      <c r="AC7" s="4">
        <v>4.29552306029269E-2</v>
      </c>
      <c r="AD7" s="4">
        <v>3.108069150632509E-2</v>
      </c>
      <c r="AE7" s="4">
        <v>1.3105349489292923E-2</v>
      </c>
      <c r="AF7" s="4">
        <v>3.5070828427782329E-2</v>
      </c>
      <c r="AG7" s="4">
        <v>1.8177007201750712E-2</v>
      </c>
      <c r="AH7" s="4">
        <v>2.6292645058177098E-2</v>
      </c>
      <c r="AI7" s="4">
        <v>3.4882305734753691E-2</v>
      </c>
      <c r="AJ7" s="4">
        <v>3.0126820479452119E-2</v>
      </c>
      <c r="AK7" s="4">
        <v>3.15105959555936E-2</v>
      </c>
      <c r="AL7" s="4">
        <v>1.6915280375524602E-2</v>
      </c>
      <c r="AM7" s="4">
        <v>0.11832187412167459</v>
      </c>
      <c r="AN7" s="4">
        <v>8.3166152046443356E-2</v>
      </c>
      <c r="AO7" s="4">
        <v>7.2352831001073481E-2</v>
      </c>
      <c r="AP7" s="4">
        <v>1.6751523563986341E-2</v>
      </c>
    </row>
    <row r="8" spans="1:42" x14ac:dyDescent="0.15">
      <c r="A8" s="3" t="s">
        <v>46</v>
      </c>
      <c r="B8" s="3" t="s">
        <v>5</v>
      </c>
      <c r="C8" s="4">
        <v>3.3832846366750879E-2</v>
      </c>
      <c r="D8" s="7">
        <v>0.78690450407042134</v>
      </c>
      <c r="E8" s="4">
        <v>-1.0253964331208554E-2</v>
      </c>
      <c r="F8" s="2">
        <v>1</v>
      </c>
      <c r="G8" s="4">
        <v>4.8270599912152039E-2</v>
      </c>
      <c r="H8" s="4">
        <v>2.6549437962600448E-3</v>
      </c>
      <c r="I8" s="4">
        <v>4.8582721825439941E-2</v>
      </c>
      <c r="J8" s="4">
        <v>8.2519578247699454E-2</v>
      </c>
      <c r="K8" s="4">
        <v>0.10610438651768418</v>
      </c>
      <c r="L8" s="4">
        <v>1.0983955437413903E-3</v>
      </c>
      <c r="M8" s="4">
        <v>4.2820126016400034E-2</v>
      </c>
      <c r="N8" s="4">
        <v>4.5396930541747538E-2</v>
      </c>
      <c r="O8" s="4">
        <v>3.0223702415102756E-2</v>
      </c>
      <c r="P8" s="4">
        <v>-1.1408221423782519E-3</v>
      </c>
      <c r="Q8" s="4">
        <v>-0.18940004522956769</v>
      </c>
      <c r="R8" s="4">
        <v>5.091488573459229E-2</v>
      </c>
      <c r="S8" s="4">
        <v>8.7725122072599887E-2</v>
      </c>
      <c r="T8" s="4">
        <v>-0.31451169830835629</v>
      </c>
      <c r="U8" s="4">
        <v>-8.2808840927092048E-4</v>
      </c>
      <c r="V8" s="4">
        <v>1.6007061847241256E-2</v>
      </c>
      <c r="W8" s="4">
        <v>-3.3125745321647472E-3</v>
      </c>
      <c r="X8" s="4">
        <v>2.1782151993693995E-2</v>
      </c>
      <c r="Y8" s="4">
        <v>0.33575156214393881</v>
      </c>
      <c r="Z8" s="4">
        <v>-3.8280628329342613E-2</v>
      </c>
      <c r="AA8" s="4">
        <v>-0.17502096554496546</v>
      </c>
      <c r="AB8" s="4">
        <v>-0.27955933358428325</v>
      </c>
      <c r="AC8" s="4">
        <v>0.10983848617750842</v>
      </c>
      <c r="AD8" s="4">
        <v>-8.1548405047499814E-3</v>
      </c>
      <c r="AE8" s="4">
        <v>0.19449879497807937</v>
      </c>
      <c r="AF8" s="4">
        <v>4.6833608682194446E-2</v>
      </c>
      <c r="AG8" s="4">
        <v>-5.3221175726125463E-3</v>
      </c>
      <c r="AH8" s="4">
        <v>2.30994263595393E-2</v>
      </c>
      <c r="AI8" s="4">
        <v>9.7470691097692672E-3</v>
      </c>
      <c r="AJ8" s="4">
        <v>-0.39254913734786384</v>
      </c>
      <c r="AK8" s="4">
        <v>-2.474078525818618E-3</v>
      </c>
      <c r="AL8" s="4">
        <v>0.4084969384534945</v>
      </c>
      <c r="AM8" s="4">
        <v>-1.4611534434551087E-2</v>
      </c>
      <c r="AN8" s="4">
        <v>5.9287250679080326E-2</v>
      </c>
      <c r="AO8" s="4">
        <v>-9.9102042889677652E-2</v>
      </c>
      <c r="AP8" s="4">
        <v>2.8617055440191823E-2</v>
      </c>
    </row>
    <row r="9" spans="1:42" x14ac:dyDescent="0.15">
      <c r="A9" s="3" t="s">
        <v>46</v>
      </c>
      <c r="B9" s="3" t="s">
        <v>6</v>
      </c>
      <c r="C9" s="4">
        <v>1.2124101852438672E-2</v>
      </c>
      <c r="D9" s="4">
        <v>4.2913646323709621E-2</v>
      </c>
      <c r="E9" s="4">
        <v>4.7663212575118866E-2</v>
      </c>
      <c r="F9" s="4">
        <v>4.8270599912152039E-2</v>
      </c>
      <c r="G9" s="2">
        <v>1</v>
      </c>
      <c r="H9" s="4">
        <v>-1.1383817908159016E-2</v>
      </c>
      <c r="I9" s="4">
        <v>8.8983968838524663E-2</v>
      </c>
      <c r="J9" s="4">
        <v>-2.3783684625046961E-2</v>
      </c>
      <c r="K9" s="4">
        <v>6.6784021089382792E-2</v>
      </c>
      <c r="L9" s="4">
        <v>7.6735107083431925E-2</v>
      </c>
      <c r="M9" s="4">
        <v>5.2280649572517948E-2</v>
      </c>
      <c r="N9" s="4">
        <v>2.4988252153475738E-2</v>
      </c>
      <c r="O9" s="4">
        <v>2.818570936788159E-2</v>
      </c>
      <c r="P9" s="4">
        <v>3.2966822028933473E-2</v>
      </c>
      <c r="Q9" s="4">
        <v>1.5586394383104694E-2</v>
      </c>
      <c r="R9" s="4">
        <v>6.5766215287761401E-2</v>
      </c>
      <c r="S9" s="4">
        <v>4.8194775780407553E-2</v>
      </c>
      <c r="T9" s="4">
        <v>-6.4109728142747588E-3</v>
      </c>
      <c r="U9" s="4">
        <v>-3.1353635068002324E-2</v>
      </c>
      <c r="V9" s="4">
        <v>1.8502187407663202E-2</v>
      </c>
      <c r="W9" s="4">
        <v>3.0618771660016069E-2</v>
      </c>
      <c r="X9" s="4">
        <v>-9.415444248336808E-3</v>
      </c>
      <c r="Y9" s="4">
        <v>2.9913630398533415E-2</v>
      </c>
      <c r="Z9" s="4">
        <v>3.922663207646096E-2</v>
      </c>
      <c r="AA9" s="4">
        <v>1.4526604305993916E-2</v>
      </c>
      <c r="AB9" s="4">
        <v>-1.2839446043657127E-2</v>
      </c>
      <c r="AC9" s="4">
        <v>6.3299509402755166E-2</v>
      </c>
      <c r="AD9" s="4">
        <v>5.5811638541395814E-2</v>
      </c>
      <c r="AE9" s="4">
        <v>5.6627042739161193E-2</v>
      </c>
      <c r="AF9" s="4">
        <v>5.9993859204320557E-2</v>
      </c>
      <c r="AG9" s="4">
        <v>5.7622986398945024E-2</v>
      </c>
      <c r="AH9" s="4">
        <v>-1.0145004628593187E-2</v>
      </c>
      <c r="AI9" s="4">
        <v>6.1321198682312852E-2</v>
      </c>
      <c r="AJ9" s="4">
        <v>-2.4077880347845474E-2</v>
      </c>
      <c r="AK9" s="4">
        <v>5.5562377099864682E-2</v>
      </c>
      <c r="AL9" s="4">
        <v>2.9201705422734921E-2</v>
      </c>
      <c r="AM9" s="4">
        <v>-3.7738740020512463E-3</v>
      </c>
      <c r="AN9" s="4">
        <v>2.4025934379773524E-2</v>
      </c>
      <c r="AO9" s="4">
        <v>4.455134663904145E-2</v>
      </c>
      <c r="AP9" s="4">
        <v>3.1561261588984348E-2</v>
      </c>
    </row>
    <row r="10" spans="1:42" x14ac:dyDescent="0.15">
      <c r="A10" s="3" t="s">
        <v>46</v>
      </c>
      <c r="B10" s="3" t="s">
        <v>7</v>
      </c>
      <c r="C10" s="4">
        <v>0.25425959781486462</v>
      </c>
      <c r="D10" s="4">
        <v>5.0439367351406339E-3</v>
      </c>
      <c r="E10" s="4">
        <v>5.376676080970573E-2</v>
      </c>
      <c r="F10" s="4">
        <v>2.6549437962600448E-3</v>
      </c>
      <c r="G10" s="4">
        <v>-1.1383817908159016E-2</v>
      </c>
      <c r="H10" s="2">
        <v>1</v>
      </c>
      <c r="I10" s="4">
        <v>3.0409172910630552E-2</v>
      </c>
      <c r="J10" s="4">
        <v>3.9770337158516758E-2</v>
      </c>
      <c r="K10" s="4">
        <v>9.6628418262360183E-2</v>
      </c>
      <c r="L10" s="4">
        <v>3.8174529367642054E-2</v>
      </c>
      <c r="M10" s="4">
        <v>2.0149664496421318E-2</v>
      </c>
      <c r="N10" s="4">
        <v>7.2859828608927285E-3</v>
      </c>
      <c r="O10" s="4">
        <v>-2.0790650744433873E-2</v>
      </c>
      <c r="P10" s="4">
        <v>2.5107292785929458E-3</v>
      </c>
      <c r="Q10" s="4">
        <v>-5.7859976417595511E-3</v>
      </c>
      <c r="R10" s="4">
        <v>4.3027557464010442E-2</v>
      </c>
      <c r="S10" s="4">
        <v>1.7898292891753809E-2</v>
      </c>
      <c r="T10" s="4">
        <v>-5.8049149421226028E-2</v>
      </c>
      <c r="U10" s="4">
        <v>0.32248790927759963</v>
      </c>
      <c r="V10" s="4">
        <v>-2.3490524261898404E-2</v>
      </c>
      <c r="W10" s="4">
        <v>4.7326443066439836E-2</v>
      </c>
      <c r="X10" s="4">
        <v>7.3315224783057588E-3</v>
      </c>
      <c r="Y10" s="4">
        <v>2.2784496719168299E-2</v>
      </c>
      <c r="Z10" s="4">
        <v>3.839518720382655E-2</v>
      </c>
      <c r="AA10" s="4">
        <v>-2.682177508968412E-2</v>
      </c>
      <c r="AB10" s="4">
        <v>-5.7441399511260004E-2</v>
      </c>
      <c r="AC10" s="4">
        <v>9.8497540028586447E-2</v>
      </c>
      <c r="AD10" s="4">
        <v>5.8883159070200447E-2</v>
      </c>
      <c r="AE10" s="4">
        <v>-3.8182420881012792E-2</v>
      </c>
      <c r="AF10" s="4">
        <v>5.8939298838412243E-2</v>
      </c>
      <c r="AG10" s="4">
        <v>-7.9922591603870177E-2</v>
      </c>
      <c r="AH10" s="4">
        <v>2.0811074136617039E-2</v>
      </c>
      <c r="AI10" s="4">
        <v>8.0758979676221837E-2</v>
      </c>
      <c r="AJ10" s="4">
        <v>-2.4493542565449652E-2</v>
      </c>
      <c r="AK10" s="4">
        <v>6.1697264242989373E-2</v>
      </c>
      <c r="AL10" s="4">
        <v>-3.3255448736045222E-3</v>
      </c>
      <c r="AM10" s="4">
        <v>-3.5638459602089973E-3</v>
      </c>
      <c r="AN10" s="4">
        <v>9.8780038450213808E-3</v>
      </c>
      <c r="AO10" s="4">
        <v>1.462309674026508E-2</v>
      </c>
      <c r="AP10" s="4">
        <v>1.4515036560821398E-2</v>
      </c>
    </row>
    <row r="11" spans="1:42" x14ac:dyDescent="0.15">
      <c r="A11" s="3" t="s">
        <v>46</v>
      </c>
      <c r="B11" s="3" t="s">
        <v>8</v>
      </c>
      <c r="C11" s="4">
        <v>5.6131266174473719E-2</v>
      </c>
      <c r="D11" s="4">
        <v>5.1793014248812767E-2</v>
      </c>
      <c r="E11" s="4">
        <v>3.0132933429087669E-2</v>
      </c>
      <c r="F11" s="4">
        <v>4.8582721825439941E-2</v>
      </c>
      <c r="G11" s="4">
        <v>8.8983968838524663E-2</v>
      </c>
      <c r="H11" s="4">
        <v>3.0409172910630552E-2</v>
      </c>
      <c r="I11" s="2">
        <v>1</v>
      </c>
      <c r="J11" s="4">
        <v>2.8991779815753932E-2</v>
      </c>
      <c r="K11" s="4">
        <v>3.3032301271901043E-2</v>
      </c>
      <c r="L11" s="4">
        <v>-3.0182094642583805E-2</v>
      </c>
      <c r="M11" s="4">
        <v>3.1443694935979552E-2</v>
      </c>
      <c r="N11" s="4">
        <v>2.3199059376488172E-2</v>
      </c>
      <c r="O11" s="4">
        <v>2.435811096758058E-2</v>
      </c>
      <c r="P11" s="4">
        <v>1.3706019779782199E-2</v>
      </c>
      <c r="Q11" s="4">
        <v>-6.5846548993356444E-2</v>
      </c>
      <c r="R11" s="4">
        <v>-1.1950035103971919E-2</v>
      </c>
      <c r="S11" s="4">
        <v>-2.8112628194547084E-2</v>
      </c>
      <c r="T11" s="4">
        <v>-4.818105045207087E-2</v>
      </c>
      <c r="U11" s="4">
        <v>3.3901364759353701E-2</v>
      </c>
      <c r="V11" s="4">
        <v>0.11096194682550986</v>
      </c>
      <c r="W11" s="4">
        <v>1.3365312174586039E-2</v>
      </c>
      <c r="X11" s="4">
        <v>2.4207014049158086E-2</v>
      </c>
      <c r="Y11" s="4">
        <v>9.5242297958170255E-2</v>
      </c>
      <c r="Z11" s="4">
        <v>-2.5062146378912173E-2</v>
      </c>
      <c r="AA11" s="4">
        <v>-2.4073763326764214E-2</v>
      </c>
      <c r="AB11" s="4">
        <v>-8.3450658337325345E-2</v>
      </c>
      <c r="AC11" s="4">
        <v>3.3738848549410561E-2</v>
      </c>
      <c r="AD11" s="4">
        <v>-1.8929532558523858E-2</v>
      </c>
      <c r="AE11" s="4">
        <v>1.1795530653976656E-2</v>
      </c>
      <c r="AF11" s="4">
        <v>-7.952583831721604E-3</v>
      </c>
      <c r="AG11" s="4">
        <v>-6.2929810053113253E-2</v>
      </c>
      <c r="AH11" s="4">
        <v>0.20073930154370365</v>
      </c>
      <c r="AI11" s="4">
        <v>-1.0602080768164105E-2</v>
      </c>
      <c r="AJ11" s="4">
        <v>-0.11105263386730771</v>
      </c>
      <c r="AK11" s="4">
        <v>-1.8867256704764596E-2</v>
      </c>
      <c r="AL11" s="4">
        <v>4.7162963077268076E-2</v>
      </c>
      <c r="AM11" s="4">
        <v>-0.12821070244816024</v>
      </c>
      <c r="AN11" s="4">
        <v>2.6447009956527042E-2</v>
      </c>
      <c r="AO11" s="4">
        <v>1.9416715109311204E-2</v>
      </c>
      <c r="AP11" s="4">
        <v>4.4927268289590663E-2</v>
      </c>
    </row>
    <row r="12" spans="1:42" x14ac:dyDescent="0.15">
      <c r="A12" s="3" t="s">
        <v>46</v>
      </c>
      <c r="B12" s="3" t="s">
        <v>9</v>
      </c>
      <c r="C12" s="4">
        <v>6.6803611710683941E-2</v>
      </c>
      <c r="D12" s="4">
        <v>8.3651787059350821E-2</v>
      </c>
      <c r="E12" s="4">
        <v>-1.2875153628828014E-2</v>
      </c>
      <c r="F12" s="4">
        <v>8.2519578247699454E-2</v>
      </c>
      <c r="G12" s="4">
        <v>-2.3783684625046961E-2</v>
      </c>
      <c r="H12" s="4">
        <v>3.9770337158516758E-2</v>
      </c>
      <c r="I12" s="4">
        <v>2.8991779815753932E-2</v>
      </c>
      <c r="J12" s="2">
        <v>1</v>
      </c>
      <c r="K12" s="4">
        <v>3.0389250306958181E-2</v>
      </c>
      <c r="L12" s="4">
        <v>7.4457909350311431E-4</v>
      </c>
      <c r="M12" s="4">
        <v>-2.4375472194759946E-2</v>
      </c>
      <c r="N12" s="4">
        <v>3.9094839937916938E-2</v>
      </c>
      <c r="O12" s="4">
        <v>5.9722691144905707E-2</v>
      </c>
      <c r="P12" s="4">
        <v>3.1608600942004551E-2</v>
      </c>
      <c r="Q12" s="4">
        <v>-0.10457095802337114</v>
      </c>
      <c r="R12" s="4">
        <v>-2.423816170878448E-2</v>
      </c>
      <c r="S12" s="4">
        <v>-5.5346425311570142E-2</v>
      </c>
      <c r="T12" s="4">
        <v>-0.24448671923619536</v>
      </c>
      <c r="U12" s="4">
        <v>5.8236906091473764E-2</v>
      </c>
      <c r="V12" s="4">
        <v>1.8065063123207502E-2</v>
      </c>
      <c r="W12" s="4">
        <v>-1.5341637879754445E-2</v>
      </c>
      <c r="X12" s="4">
        <v>-3.3700060399792846E-5</v>
      </c>
      <c r="Y12" s="4">
        <v>7.6039669104555618E-2</v>
      </c>
      <c r="Z12" s="4">
        <v>-4.8327145894623953E-2</v>
      </c>
      <c r="AA12" s="4">
        <v>-1.7438099031021025E-2</v>
      </c>
      <c r="AB12" s="4">
        <v>-0.23306330224634333</v>
      </c>
      <c r="AC12" s="4">
        <v>3.6658470434642439E-2</v>
      </c>
      <c r="AD12" s="4">
        <v>6.9657709226356689E-3</v>
      </c>
      <c r="AE12" s="4">
        <v>-2.6656563915952561E-2</v>
      </c>
      <c r="AF12" s="4">
        <v>8.9427214214787085E-3</v>
      </c>
      <c r="AG12" s="4">
        <v>-4.3961522901767927E-2</v>
      </c>
      <c r="AH12" s="4">
        <v>-1.2591754030976069E-2</v>
      </c>
      <c r="AI12" s="4">
        <v>1.0853313829754024E-2</v>
      </c>
      <c r="AJ12" s="4">
        <v>-0.12301579132044513</v>
      </c>
      <c r="AK12" s="4">
        <v>1.7463196127861926E-2</v>
      </c>
      <c r="AL12" s="4">
        <v>9.3244550078566482E-2</v>
      </c>
      <c r="AM12" s="4">
        <v>-5.5057743199162599E-3</v>
      </c>
      <c r="AN12" s="4">
        <v>7.8624212601042173E-3</v>
      </c>
      <c r="AO12" s="4">
        <v>-1.8967848954137081E-2</v>
      </c>
      <c r="AP12" s="4">
        <v>-1.6051798817347775E-2</v>
      </c>
    </row>
    <row r="13" spans="1:42" x14ac:dyDescent="0.15">
      <c r="A13" s="3" t="s">
        <v>46</v>
      </c>
      <c r="B13" s="3" t="s">
        <v>10</v>
      </c>
      <c r="C13" s="4">
        <v>0.24679490207509683</v>
      </c>
      <c r="D13" s="4">
        <v>9.7640394035858752E-2</v>
      </c>
      <c r="E13" s="4">
        <v>4.4203203097081457E-2</v>
      </c>
      <c r="F13" s="4">
        <v>0.10610438651768418</v>
      </c>
      <c r="G13" s="4">
        <v>6.6784021089382792E-2</v>
      </c>
      <c r="H13" s="4">
        <v>9.6628418262360183E-2</v>
      </c>
      <c r="I13" s="4">
        <v>3.3032301271901043E-2</v>
      </c>
      <c r="J13" s="4">
        <v>3.0389250306958181E-2</v>
      </c>
      <c r="K13" s="2">
        <v>1</v>
      </c>
      <c r="L13" s="4">
        <v>3.4059795199706887E-2</v>
      </c>
      <c r="M13" s="4">
        <v>5.1247331393663505E-2</v>
      </c>
      <c r="N13" s="4">
        <v>2.6068854628085131E-2</v>
      </c>
      <c r="O13" s="4">
        <v>1.8540574450888726E-2</v>
      </c>
      <c r="P13" s="4">
        <v>2.3364236571864851E-2</v>
      </c>
      <c r="Q13" s="4">
        <v>-5.1159976356469992E-3</v>
      </c>
      <c r="R13" s="4">
        <v>0.18892561093403326</v>
      </c>
      <c r="S13" s="4">
        <v>5.9875170571300491E-2</v>
      </c>
      <c r="T13" s="4">
        <v>-2.0545172229495218E-2</v>
      </c>
      <c r="U13" s="4">
        <v>0.24824234894224234</v>
      </c>
      <c r="V13" s="4">
        <v>4.3251024363488919E-3</v>
      </c>
      <c r="W13" s="4">
        <v>3.0999427628421661E-2</v>
      </c>
      <c r="X13" s="4">
        <v>1.9408968901531615E-2</v>
      </c>
      <c r="Y13" s="4">
        <v>4.5147263310215555E-2</v>
      </c>
      <c r="Z13" s="4">
        <v>6.1624469859140545E-2</v>
      </c>
      <c r="AA13" s="4">
        <v>-1.3826641883392559E-2</v>
      </c>
      <c r="AB13" s="4">
        <v>-5.3414715038881157E-3</v>
      </c>
      <c r="AC13" s="8">
        <v>0.96497946252549061</v>
      </c>
      <c r="AD13" s="4">
        <v>0.26525001764066597</v>
      </c>
      <c r="AE13" s="4">
        <v>4.3494494781555676E-2</v>
      </c>
      <c r="AF13" s="4">
        <v>0.27027474146268637</v>
      </c>
      <c r="AG13" s="4">
        <v>0.24901196977167453</v>
      </c>
      <c r="AH13" s="4">
        <v>1.5283624903036759E-2</v>
      </c>
      <c r="AI13" s="4">
        <v>0.18664473398069586</v>
      </c>
      <c r="AJ13" s="4">
        <v>-1.5358639982870599E-2</v>
      </c>
      <c r="AK13" s="4">
        <v>0.25873879412488016</v>
      </c>
      <c r="AL13" s="4">
        <v>6.2966808587032908E-2</v>
      </c>
      <c r="AM13" s="4">
        <v>5.0820691923875019E-2</v>
      </c>
      <c r="AN13" s="4">
        <v>3.314985922683545E-2</v>
      </c>
      <c r="AO13" s="4">
        <v>4.5034698313875417E-2</v>
      </c>
      <c r="AP13" s="4">
        <v>2.2075581498346656E-2</v>
      </c>
    </row>
    <row r="14" spans="1:42" x14ac:dyDescent="0.15">
      <c r="A14" s="3" t="s">
        <v>46</v>
      </c>
      <c r="B14" s="3" t="s">
        <v>11</v>
      </c>
      <c r="C14" s="4">
        <v>4.7038789231610464E-2</v>
      </c>
      <c r="D14" s="4">
        <v>-5.4397224822065431E-3</v>
      </c>
      <c r="E14" s="4">
        <v>4.9459137884723565E-2</v>
      </c>
      <c r="F14" s="4">
        <v>1.0983955437413903E-3</v>
      </c>
      <c r="G14" s="4">
        <v>7.6735107083431925E-2</v>
      </c>
      <c r="H14" s="4">
        <v>3.8174529367642054E-2</v>
      </c>
      <c r="I14" s="4">
        <v>-3.0182094642583805E-2</v>
      </c>
      <c r="J14" s="4">
        <v>7.4457909350311431E-4</v>
      </c>
      <c r="K14" s="4">
        <v>3.4059795199706887E-2</v>
      </c>
      <c r="L14" s="2">
        <v>1</v>
      </c>
      <c r="M14" s="4">
        <v>5.2801757106418573E-2</v>
      </c>
      <c r="N14" s="4">
        <v>-2.238301888743387E-2</v>
      </c>
      <c r="O14" s="4">
        <v>-6.7936906715621026E-2</v>
      </c>
      <c r="P14" s="4">
        <v>1.7232434891608372E-2</v>
      </c>
      <c r="Q14" s="4">
        <v>3.8423147490105079E-2</v>
      </c>
      <c r="R14" s="4">
        <v>5.7347615860796688E-2</v>
      </c>
      <c r="S14" s="4">
        <v>5.2864059896879041E-2</v>
      </c>
      <c r="T14" s="4">
        <v>-9.5027507179392522E-3</v>
      </c>
      <c r="U14" s="4">
        <v>1.247632987837219E-2</v>
      </c>
      <c r="V14" s="4">
        <v>-0.26583162194698345</v>
      </c>
      <c r="W14" s="4">
        <v>3.8210561054416101E-2</v>
      </c>
      <c r="X14" s="4">
        <v>-2.3630348386875252E-3</v>
      </c>
      <c r="Y14" s="4">
        <v>-1.0763529617608869E-2</v>
      </c>
      <c r="Z14" s="4">
        <v>4.6962881721412636E-2</v>
      </c>
      <c r="AA14" s="4">
        <v>9.0311341842352743E-3</v>
      </c>
      <c r="AB14" s="4">
        <v>-3.2006016294922027E-3</v>
      </c>
      <c r="AC14" s="4">
        <v>3.1661633058068551E-2</v>
      </c>
      <c r="AD14" s="4">
        <v>5.5262868880806733E-2</v>
      </c>
      <c r="AE14" s="4">
        <v>3.7750293284925636E-2</v>
      </c>
      <c r="AF14" s="4">
        <v>5.5588361188657294E-2</v>
      </c>
      <c r="AG14" s="4">
        <v>2.4437986796117517E-2</v>
      </c>
      <c r="AH14" s="4">
        <v>1.9380267303952023E-2</v>
      </c>
      <c r="AI14" s="4">
        <v>6.2296007808776116E-2</v>
      </c>
      <c r="AJ14" s="4">
        <v>2.3207863102982184E-2</v>
      </c>
      <c r="AK14" s="4">
        <v>5.5600555974825557E-2</v>
      </c>
      <c r="AL14" s="4">
        <v>-8.5690909421429571E-3</v>
      </c>
      <c r="AM14" s="4">
        <v>6.2669141815295662E-2</v>
      </c>
      <c r="AN14" s="4">
        <v>-1.3663533653486255E-4</v>
      </c>
      <c r="AO14" s="4">
        <v>2.4931800059628136E-2</v>
      </c>
      <c r="AP14" s="4">
        <v>1.3952779709023566E-2</v>
      </c>
    </row>
    <row r="15" spans="1:42" x14ac:dyDescent="0.15">
      <c r="A15" s="3" t="s">
        <v>46</v>
      </c>
      <c r="B15" s="3" t="s">
        <v>12</v>
      </c>
      <c r="C15" s="4">
        <v>2.5225720758766963E-2</v>
      </c>
      <c r="D15" s="4">
        <v>5.5025482134172354E-2</v>
      </c>
      <c r="E15" s="4">
        <v>6.9802027258714691E-2</v>
      </c>
      <c r="F15" s="4">
        <v>4.2820126016400034E-2</v>
      </c>
      <c r="G15" s="4">
        <v>5.2280649572517948E-2</v>
      </c>
      <c r="H15" s="4">
        <v>2.0149664496421318E-2</v>
      </c>
      <c r="I15" s="4">
        <v>3.1443694935979552E-2</v>
      </c>
      <c r="J15" s="4">
        <v>-2.4375472194759946E-2</v>
      </c>
      <c r="K15" s="4">
        <v>5.1247331393663505E-2</v>
      </c>
      <c r="L15" s="4">
        <v>5.2801757106418573E-2</v>
      </c>
      <c r="M15" s="2">
        <v>1</v>
      </c>
      <c r="N15" s="4">
        <v>6.0037575322672227E-3</v>
      </c>
      <c r="O15" s="4">
        <v>-5.4904337774908121E-2</v>
      </c>
      <c r="P15" s="4">
        <v>5.4106936760062521E-3</v>
      </c>
      <c r="Q15" s="4">
        <v>-5.0400895977034739E-2</v>
      </c>
      <c r="R15" s="4">
        <v>1.8608368820994905E-3</v>
      </c>
      <c r="S15" s="4">
        <v>5.6447983833131008E-4</v>
      </c>
      <c r="T15" s="4">
        <v>-2.1418862408912311E-2</v>
      </c>
      <c r="U15" s="4">
        <v>1.6570984875134726E-2</v>
      </c>
      <c r="V15" s="4">
        <v>-3.1802282653532646E-2</v>
      </c>
      <c r="W15" s="4">
        <v>5.3108153339523928E-2</v>
      </c>
      <c r="X15" s="4">
        <v>6.0149937393612289E-2</v>
      </c>
      <c r="Y15" s="4">
        <v>0.11684189621900776</v>
      </c>
      <c r="Z15" s="4">
        <v>1.7728629800935838E-2</v>
      </c>
      <c r="AA15" s="4">
        <v>-2.0730196035344664E-2</v>
      </c>
      <c r="AB15" s="4">
        <v>-7.6930271032048846E-3</v>
      </c>
      <c r="AC15" s="4">
        <v>5.2381323805822076E-2</v>
      </c>
      <c r="AD15" s="4">
        <v>-3.3335594462923217E-2</v>
      </c>
      <c r="AE15" s="4">
        <v>6.7617072689218433E-2</v>
      </c>
      <c r="AF15" s="4">
        <v>-6.9732977812413249E-3</v>
      </c>
      <c r="AG15" s="4">
        <v>-5.0403165153372169E-2</v>
      </c>
      <c r="AH15" s="4">
        <v>2.079254993195424E-2</v>
      </c>
      <c r="AI15" s="4">
        <v>-1.1710411185316034E-3</v>
      </c>
      <c r="AJ15" s="4">
        <v>-8.4340288183172102E-2</v>
      </c>
      <c r="AK15" s="4">
        <v>-3.4149496271851515E-2</v>
      </c>
      <c r="AL15" s="4">
        <v>8.8056304204391679E-3</v>
      </c>
      <c r="AM15" s="4">
        <v>8.6025698921864915E-2</v>
      </c>
      <c r="AN15" s="4">
        <v>3.0985864910434591E-2</v>
      </c>
      <c r="AO15" s="4">
        <v>0.16939315634378535</v>
      </c>
      <c r="AP15" s="4">
        <v>0.17072849948111327</v>
      </c>
    </row>
    <row r="16" spans="1:42" x14ac:dyDescent="0.15">
      <c r="A16" s="3" t="s">
        <v>46</v>
      </c>
      <c r="B16" s="3" t="s">
        <v>13</v>
      </c>
      <c r="C16" s="4">
        <v>1.9813097121029306E-2</v>
      </c>
      <c r="D16" s="4">
        <v>4.3520210889697507E-2</v>
      </c>
      <c r="E16" s="4">
        <v>3.4470294478089586E-3</v>
      </c>
      <c r="F16" s="4">
        <v>4.5396930541747538E-2</v>
      </c>
      <c r="G16" s="4">
        <v>2.4988252153475738E-2</v>
      </c>
      <c r="H16" s="4">
        <v>7.2859828608927285E-3</v>
      </c>
      <c r="I16" s="4">
        <v>2.3199059376488172E-2</v>
      </c>
      <c r="J16" s="4">
        <v>3.9094839937916938E-2</v>
      </c>
      <c r="K16" s="4">
        <v>2.6068854628085131E-2</v>
      </c>
      <c r="L16" s="4">
        <v>-2.238301888743387E-2</v>
      </c>
      <c r="M16" s="4">
        <v>6.0037575322672227E-3</v>
      </c>
      <c r="N16" s="2">
        <v>1</v>
      </c>
      <c r="O16" s="4">
        <v>2.2920197013432432E-2</v>
      </c>
      <c r="P16" s="4">
        <v>7.256211393045592E-3</v>
      </c>
      <c r="Q16" s="4">
        <v>-4.5462709958998697E-2</v>
      </c>
      <c r="R16" s="4">
        <v>-6.6023159071556502E-3</v>
      </c>
      <c r="S16" s="4">
        <v>-2.5097120493122474E-2</v>
      </c>
      <c r="T16" s="4">
        <v>-4.285008457508762E-2</v>
      </c>
      <c r="U16" s="4">
        <v>1.2850319853347517E-2</v>
      </c>
      <c r="V16" s="4">
        <v>0.12918553658676973</v>
      </c>
      <c r="W16" s="4">
        <v>5.3034307886250884E-3</v>
      </c>
      <c r="X16" s="4">
        <v>4.4856236711202351E-3</v>
      </c>
      <c r="Y16" s="4">
        <v>4.2032903817245559E-2</v>
      </c>
      <c r="Z16" s="4">
        <v>-1.7969339073380736E-2</v>
      </c>
      <c r="AA16" s="4">
        <v>-2.1473112341413629E-2</v>
      </c>
      <c r="AB16" s="4">
        <v>-4.2530665988724507E-2</v>
      </c>
      <c r="AC16" s="4">
        <v>2.7764523437762798E-2</v>
      </c>
      <c r="AD16" s="4">
        <v>-3.3818582048272092E-3</v>
      </c>
      <c r="AE16" s="4">
        <v>-2.390260154367095E-3</v>
      </c>
      <c r="AF16" s="4">
        <v>-4.456056618447919E-5</v>
      </c>
      <c r="AG16" s="4">
        <v>-1.5123006159579427E-2</v>
      </c>
      <c r="AH16" s="4">
        <v>-3.2995138405376152E-3</v>
      </c>
      <c r="AI16" s="4">
        <v>-6.1852533078200862E-3</v>
      </c>
      <c r="AJ16" s="4">
        <v>-4.7202942199701121E-2</v>
      </c>
      <c r="AK16" s="4">
        <v>-2.9569843594859585E-3</v>
      </c>
      <c r="AL16" s="4">
        <v>5.0050528841761519E-2</v>
      </c>
      <c r="AM16" s="4">
        <v>-1.4581011926710919E-2</v>
      </c>
      <c r="AN16" s="4">
        <v>8.732223530872836E-3</v>
      </c>
      <c r="AO16" s="4">
        <v>2.03995642941662E-2</v>
      </c>
      <c r="AP16" s="4">
        <v>3.6823708178116846E-3</v>
      </c>
    </row>
    <row r="17" spans="1:42" x14ac:dyDescent="0.15">
      <c r="A17" s="3" t="s">
        <v>46</v>
      </c>
      <c r="B17" s="3" t="s">
        <v>14</v>
      </c>
      <c r="C17" s="4">
        <v>-1.669198877973602E-2</v>
      </c>
      <c r="D17" s="4">
        <v>2.9123673455040629E-2</v>
      </c>
      <c r="E17" s="4">
        <v>-9.4675467832377749E-2</v>
      </c>
      <c r="F17" s="4">
        <v>3.0223702415102756E-2</v>
      </c>
      <c r="G17" s="4">
        <v>2.818570936788159E-2</v>
      </c>
      <c r="H17" s="4">
        <v>-2.0790650744433873E-2</v>
      </c>
      <c r="I17" s="4">
        <v>2.435811096758058E-2</v>
      </c>
      <c r="J17" s="4">
        <v>5.9722691144905707E-2</v>
      </c>
      <c r="K17" s="4">
        <v>1.8540574450888726E-2</v>
      </c>
      <c r="L17" s="4">
        <v>-6.7936906715621026E-2</v>
      </c>
      <c r="M17" s="4">
        <v>-5.4904337774908121E-2</v>
      </c>
      <c r="N17" s="4">
        <v>2.2920197013432432E-2</v>
      </c>
      <c r="O17" s="2">
        <v>1</v>
      </c>
      <c r="P17" s="4">
        <v>3.9482782892526378E-3</v>
      </c>
      <c r="Q17" s="4">
        <v>3.0121092296605213E-3</v>
      </c>
      <c r="R17" s="4">
        <v>3.7828611415982555E-3</v>
      </c>
      <c r="S17" s="4">
        <v>1.2307045455865694E-5</v>
      </c>
      <c r="T17" s="4">
        <v>2.4132380439689322E-2</v>
      </c>
      <c r="U17" s="4">
        <v>-2.0474684851496124E-2</v>
      </c>
      <c r="V17" s="4">
        <v>6.0517270677706146E-2</v>
      </c>
      <c r="W17" s="4">
        <v>-5.9278754490569116E-2</v>
      </c>
      <c r="X17" s="4">
        <v>3.9388438036308641E-3</v>
      </c>
      <c r="Y17" s="4">
        <v>-1.316642779420792E-2</v>
      </c>
      <c r="Z17" s="4">
        <v>3.9629747875878354E-3</v>
      </c>
      <c r="AA17" s="4">
        <v>1.5410397808351E-2</v>
      </c>
      <c r="AB17" s="4">
        <v>2.4407968318017038E-2</v>
      </c>
      <c r="AC17" s="4">
        <v>1.7372191625689343E-2</v>
      </c>
      <c r="AD17" s="4">
        <v>6.1665095446316774E-4</v>
      </c>
      <c r="AE17" s="4">
        <v>8.0656525057997731E-3</v>
      </c>
      <c r="AF17" s="4">
        <v>-2.9529604586788511E-3</v>
      </c>
      <c r="AG17" s="4">
        <v>1.5254607597895741E-2</v>
      </c>
      <c r="AH17" s="4">
        <v>-1.0908051751402501E-2</v>
      </c>
      <c r="AI17" s="4">
        <v>-6.9668329392289896E-4</v>
      </c>
      <c r="AJ17" s="4">
        <v>-4.0222024760661586E-3</v>
      </c>
      <c r="AK17" s="4">
        <v>-1.8638642762000626E-3</v>
      </c>
      <c r="AL17" s="4">
        <v>-1.5416067978483512E-2</v>
      </c>
      <c r="AM17" s="4">
        <v>-1.200532350431735E-2</v>
      </c>
      <c r="AN17" s="4">
        <v>4.7061340697218991E-2</v>
      </c>
      <c r="AO17" s="4">
        <v>-6.6709946282649007E-2</v>
      </c>
      <c r="AP17" s="4">
        <v>-9.257108917796554E-3</v>
      </c>
    </row>
    <row r="18" spans="1:42" x14ac:dyDescent="0.15">
      <c r="A18" s="3" t="s">
        <v>46</v>
      </c>
      <c r="B18" s="3" t="s">
        <v>15</v>
      </c>
      <c r="C18" s="4">
        <v>1.1789912631716314E-2</v>
      </c>
      <c r="D18" s="4">
        <v>-3.127088284130762E-3</v>
      </c>
      <c r="E18" s="4">
        <v>-9.9056773256673159E-3</v>
      </c>
      <c r="F18" s="4">
        <v>-1.1408221423782519E-3</v>
      </c>
      <c r="G18" s="4">
        <v>3.2966822028933473E-2</v>
      </c>
      <c r="H18" s="4">
        <v>2.5107292785929458E-3</v>
      </c>
      <c r="I18" s="4">
        <v>1.3706019779782199E-2</v>
      </c>
      <c r="J18" s="4">
        <v>3.1608600942004551E-2</v>
      </c>
      <c r="K18" s="4">
        <v>2.3364236571864851E-2</v>
      </c>
      <c r="L18" s="4">
        <v>1.7232434891608372E-2</v>
      </c>
      <c r="M18" s="4">
        <v>5.4106936760062521E-3</v>
      </c>
      <c r="N18" s="4">
        <v>7.256211393045592E-3</v>
      </c>
      <c r="O18" s="4">
        <v>3.9482782892526378E-3</v>
      </c>
      <c r="P18" s="2">
        <v>1</v>
      </c>
      <c r="Q18" s="4">
        <v>2.2686633378787235E-2</v>
      </c>
      <c r="R18" s="4">
        <v>2.5227444040354312E-2</v>
      </c>
      <c r="S18" s="4">
        <v>2.626966668858173E-2</v>
      </c>
      <c r="T18" s="4">
        <v>-6.896350901225908E-3</v>
      </c>
      <c r="U18" s="4">
        <v>-7.733647104969113E-3</v>
      </c>
      <c r="V18" s="4">
        <v>1.1698768811974214E-2</v>
      </c>
      <c r="W18" s="4">
        <v>-1.4922142688558128E-2</v>
      </c>
      <c r="X18" s="4">
        <v>5.1414720551485726E-3</v>
      </c>
      <c r="Y18" s="4">
        <v>-3.8416337205883443E-3</v>
      </c>
      <c r="Z18" s="4">
        <v>2.2307475021385248E-2</v>
      </c>
      <c r="AA18" s="4">
        <v>0.1825991666620195</v>
      </c>
      <c r="AB18" s="4">
        <v>-5.5178104193234758E-3</v>
      </c>
      <c r="AC18" s="4">
        <v>2.1453797524365097E-2</v>
      </c>
      <c r="AD18" s="4">
        <v>1.6202558703533793E-2</v>
      </c>
      <c r="AE18" s="4">
        <v>1.5979936908178966E-2</v>
      </c>
      <c r="AF18" s="4">
        <v>2.0356424609677976E-2</v>
      </c>
      <c r="AG18" s="4">
        <v>2.1013907746305689E-2</v>
      </c>
      <c r="AH18" s="4">
        <v>4.1611734316878059E-3</v>
      </c>
      <c r="AI18" s="4">
        <v>2.1278573891986063E-2</v>
      </c>
      <c r="AJ18" s="4">
        <v>8.2223651705839208E-3</v>
      </c>
      <c r="AK18" s="4">
        <v>1.6181668237662317E-2</v>
      </c>
      <c r="AL18" s="4">
        <v>-6.9236944579728569E-3</v>
      </c>
      <c r="AM18" s="4">
        <v>2.3771937827601394E-2</v>
      </c>
      <c r="AN18" s="4">
        <v>1.0463817117968828E-3</v>
      </c>
      <c r="AO18" s="4">
        <v>-1.3800126218212322E-3</v>
      </c>
      <c r="AP18" s="4">
        <v>8.7325001544937293E-3</v>
      </c>
    </row>
    <row r="19" spans="1:42" x14ac:dyDescent="0.15">
      <c r="A19" s="3" t="s">
        <v>46</v>
      </c>
      <c r="B19" s="3" t="s">
        <v>16</v>
      </c>
      <c r="C19" s="4">
        <v>2.7175750655346997E-2</v>
      </c>
      <c r="D19" s="4">
        <v>-0.23372130570321045</v>
      </c>
      <c r="E19" s="4">
        <v>2.9547185694446458E-3</v>
      </c>
      <c r="F19" s="4">
        <v>-0.18940004522956769</v>
      </c>
      <c r="G19" s="4">
        <v>1.5586394383104694E-2</v>
      </c>
      <c r="H19" s="4">
        <v>-5.7859976417595511E-3</v>
      </c>
      <c r="I19" s="4">
        <v>-6.5846548993356444E-2</v>
      </c>
      <c r="J19" s="4">
        <v>-0.10457095802337114</v>
      </c>
      <c r="K19" s="4">
        <v>-5.1159976356469992E-3</v>
      </c>
      <c r="L19" s="4">
        <v>3.8423147490105079E-2</v>
      </c>
      <c r="M19" s="4">
        <v>-5.0400895977034739E-2</v>
      </c>
      <c r="N19" s="4">
        <v>-4.5462709958998697E-2</v>
      </c>
      <c r="O19" s="4">
        <v>3.0121092296605213E-3</v>
      </c>
      <c r="P19" s="4">
        <v>2.2686633378787235E-2</v>
      </c>
      <c r="Q19" s="2">
        <v>1</v>
      </c>
      <c r="R19" s="9">
        <v>0.50680394582036514</v>
      </c>
      <c r="S19" s="5">
        <v>0.70769124893253832</v>
      </c>
      <c r="T19" s="4">
        <v>0.36860708469981757</v>
      </c>
      <c r="U19" s="4">
        <v>-0.23902517697598621</v>
      </c>
      <c r="V19" s="4">
        <v>-7.277734173785072E-2</v>
      </c>
      <c r="W19" s="4">
        <v>4.5315589789333768E-3</v>
      </c>
      <c r="X19" s="4">
        <v>1.2035180168641607E-2</v>
      </c>
      <c r="Y19" s="4">
        <v>-0.40108973457254699</v>
      </c>
      <c r="Z19" s="9">
        <v>0.50577703286356646</v>
      </c>
      <c r="AA19" s="4">
        <v>0.21693366493482852</v>
      </c>
      <c r="AB19" s="4">
        <v>0.35532858175683357</v>
      </c>
      <c r="AC19" s="4">
        <v>-4.6539061038773082E-2</v>
      </c>
      <c r="AD19" s="4">
        <v>0.40533835690628428</v>
      </c>
      <c r="AE19" s="4">
        <v>0.25555406751078313</v>
      </c>
      <c r="AF19" s="4">
        <v>0.38609646218390925</v>
      </c>
      <c r="AG19" s="4">
        <v>0.47487658370537777</v>
      </c>
      <c r="AH19" s="4">
        <v>-8.6589299141166219E-3</v>
      </c>
      <c r="AI19" s="4">
        <v>0.44393733567398208</v>
      </c>
      <c r="AJ19" s="4">
        <v>0.496962351738024</v>
      </c>
      <c r="AK19" s="4">
        <v>0.40069406386086764</v>
      </c>
      <c r="AL19" s="4">
        <v>-0.47145985198183671</v>
      </c>
      <c r="AM19" s="4">
        <v>0.11386326298548115</v>
      </c>
      <c r="AN19" s="4">
        <v>-3.5471825561232032E-2</v>
      </c>
      <c r="AO19" s="4">
        <v>-1.9751044100941934E-2</v>
      </c>
      <c r="AP19" s="4">
        <v>1.3476469516629957E-2</v>
      </c>
    </row>
    <row r="20" spans="1:42" x14ac:dyDescent="0.15">
      <c r="A20" s="3" t="s">
        <v>46</v>
      </c>
      <c r="B20" s="3" t="s">
        <v>17</v>
      </c>
      <c r="C20" s="4">
        <v>0.17324608017482412</v>
      </c>
      <c r="D20" s="4">
        <v>5.267601792924987E-2</v>
      </c>
      <c r="E20" s="4">
        <v>3.2633079233981267E-2</v>
      </c>
      <c r="F20" s="4">
        <v>5.091488573459229E-2</v>
      </c>
      <c r="G20" s="4">
        <v>6.5766215287761401E-2</v>
      </c>
      <c r="H20" s="4">
        <v>4.3027557464010442E-2</v>
      </c>
      <c r="I20" s="4">
        <v>-1.1950035103971919E-2</v>
      </c>
      <c r="J20" s="4">
        <v>-2.423816170878448E-2</v>
      </c>
      <c r="K20" s="4">
        <v>0.18892561093403326</v>
      </c>
      <c r="L20" s="4">
        <v>5.7347615860796688E-2</v>
      </c>
      <c r="M20" s="4">
        <v>1.8608368820994905E-3</v>
      </c>
      <c r="N20" s="4">
        <v>-6.6023159071556502E-3</v>
      </c>
      <c r="O20" s="4">
        <v>3.7828611415982555E-3</v>
      </c>
      <c r="P20" s="4">
        <v>2.5227444040354312E-2</v>
      </c>
      <c r="Q20" s="9">
        <v>0.50680394582036514</v>
      </c>
      <c r="R20" s="2">
        <v>1</v>
      </c>
      <c r="S20" s="6">
        <v>0.61510559914171925</v>
      </c>
      <c r="T20" s="4">
        <v>7.828550774855797E-2</v>
      </c>
      <c r="U20" s="4">
        <v>-0.21585274545718436</v>
      </c>
      <c r="V20" s="4">
        <v>-5.6146923658962351E-2</v>
      </c>
      <c r="W20" s="4">
        <v>2.5002691941326205E-2</v>
      </c>
      <c r="X20" s="4">
        <v>1.8573883668058476E-2</v>
      </c>
      <c r="Y20" s="4">
        <v>-0.17941061377167025</v>
      </c>
      <c r="Z20" s="4">
        <v>0.42534525340957946</v>
      </c>
      <c r="AA20" s="4">
        <v>6.1832413705721116E-2</v>
      </c>
      <c r="AB20" s="4">
        <v>8.7687594847480232E-2</v>
      </c>
      <c r="AC20" s="4">
        <v>0.14831659271759062</v>
      </c>
      <c r="AD20" s="9">
        <v>0.52570277423306366</v>
      </c>
      <c r="AE20" s="4">
        <v>0.25092857754561748</v>
      </c>
      <c r="AF20" s="6">
        <v>0.65386628379031109</v>
      </c>
      <c r="AG20" s="9">
        <v>0.53244240915352159</v>
      </c>
      <c r="AH20" s="4">
        <v>9.3763947082435711E-3</v>
      </c>
      <c r="AI20" s="9">
        <v>0.51032057345447945</v>
      </c>
      <c r="AJ20" s="4">
        <v>0.22538615166702536</v>
      </c>
      <c r="AK20" s="9">
        <v>0.52462716384459929</v>
      </c>
      <c r="AL20" s="4">
        <v>-0.21680022091069995</v>
      </c>
      <c r="AM20" s="4">
        <v>9.3153151067344869E-2</v>
      </c>
      <c r="AN20" s="4">
        <v>1.2002885872750362E-3</v>
      </c>
      <c r="AO20" s="4">
        <v>3.3366345355754709E-2</v>
      </c>
      <c r="AP20" s="4">
        <v>2.4652963720616022E-2</v>
      </c>
    </row>
    <row r="21" spans="1:42" x14ac:dyDescent="0.15">
      <c r="A21" s="3" t="s">
        <v>46</v>
      </c>
      <c r="B21" s="3" t="s">
        <v>18</v>
      </c>
      <c r="C21" s="4">
        <v>7.3822845907487014E-2</v>
      </c>
      <c r="D21" s="4">
        <v>2.0284871830719385E-2</v>
      </c>
      <c r="E21" s="4">
        <v>2.1525129258522558E-2</v>
      </c>
      <c r="F21" s="4">
        <v>8.7725122072599887E-2</v>
      </c>
      <c r="G21" s="4">
        <v>4.8194775780407553E-2</v>
      </c>
      <c r="H21" s="4">
        <v>1.7898292891753809E-2</v>
      </c>
      <c r="I21" s="4">
        <v>-2.8112628194547084E-2</v>
      </c>
      <c r="J21" s="4">
        <v>-5.5346425311570142E-2</v>
      </c>
      <c r="K21" s="4">
        <v>5.9875170571300491E-2</v>
      </c>
      <c r="L21" s="4">
        <v>5.2864059896879041E-2</v>
      </c>
      <c r="M21" s="4">
        <v>5.6447983833131008E-4</v>
      </c>
      <c r="N21" s="4">
        <v>-2.5097120493122474E-2</v>
      </c>
      <c r="O21" s="4">
        <v>1.2307045455865694E-5</v>
      </c>
      <c r="P21" s="4">
        <v>2.626966668858173E-2</v>
      </c>
      <c r="Q21" s="5">
        <v>0.70769124893253832</v>
      </c>
      <c r="R21" s="6">
        <v>0.61510559914171925</v>
      </c>
      <c r="S21" s="2">
        <v>1</v>
      </c>
      <c r="T21" s="4">
        <v>0.14170172059241029</v>
      </c>
      <c r="U21" s="4">
        <v>-0.2542747215401237</v>
      </c>
      <c r="V21" s="4">
        <v>-7.665439645595859E-2</v>
      </c>
      <c r="W21" s="4">
        <v>1.6481037285139631E-2</v>
      </c>
      <c r="X21" s="4">
        <v>2.2241434067082694E-2</v>
      </c>
      <c r="Y21" s="4">
        <v>-0.2332178648885658</v>
      </c>
      <c r="Z21" s="9">
        <v>0.53999020177176127</v>
      </c>
      <c r="AA21" s="4">
        <v>9.8164259015282196E-2</v>
      </c>
      <c r="AB21" s="4">
        <v>0.14561526088919874</v>
      </c>
      <c r="AC21" s="4">
        <v>1.9167099566206974E-2</v>
      </c>
      <c r="AD21" s="4">
        <v>0.40852160990058001</v>
      </c>
      <c r="AE21" s="4">
        <v>0.43909507017230309</v>
      </c>
      <c r="AF21" s="4">
        <v>0.44998098936189079</v>
      </c>
      <c r="AG21" s="4">
        <v>0.46021922424947181</v>
      </c>
      <c r="AH21" s="4">
        <v>1.3356123596790977E-2</v>
      </c>
      <c r="AI21" s="4">
        <v>0.49459960722351642</v>
      </c>
      <c r="AJ21" s="4">
        <v>0.28131522882594784</v>
      </c>
      <c r="AK21" s="4">
        <v>0.40770592325583083</v>
      </c>
      <c r="AL21" s="4">
        <v>-0.2829120989844473</v>
      </c>
      <c r="AM21" s="4">
        <v>0.10910434180956843</v>
      </c>
      <c r="AN21" s="4">
        <v>-9.5695381412509353E-3</v>
      </c>
      <c r="AO21" s="4">
        <v>1.3679890229519927E-2</v>
      </c>
      <c r="AP21" s="4">
        <v>2.6040641982898273E-2</v>
      </c>
    </row>
    <row r="22" spans="1:42" x14ac:dyDescent="0.15">
      <c r="A22" s="3" t="s">
        <v>46</v>
      </c>
      <c r="B22" s="3" t="s">
        <v>19</v>
      </c>
      <c r="C22" s="4">
        <v>-5.5619307386417405E-2</v>
      </c>
      <c r="D22" s="4">
        <v>-0.34274759199471583</v>
      </c>
      <c r="E22" s="4">
        <v>-3.1013814504068607E-2</v>
      </c>
      <c r="F22" s="4">
        <v>-0.31451169830835629</v>
      </c>
      <c r="G22" s="4">
        <v>-6.4109728142747588E-3</v>
      </c>
      <c r="H22" s="4">
        <v>-5.8049149421226028E-2</v>
      </c>
      <c r="I22" s="4">
        <v>-4.818105045207087E-2</v>
      </c>
      <c r="J22" s="4">
        <v>-0.24448671923619536</v>
      </c>
      <c r="K22" s="4">
        <v>-2.0545172229495218E-2</v>
      </c>
      <c r="L22" s="4">
        <v>-9.5027507179392522E-3</v>
      </c>
      <c r="M22" s="4">
        <v>-2.1418862408912311E-2</v>
      </c>
      <c r="N22" s="4">
        <v>-4.285008457508762E-2</v>
      </c>
      <c r="O22" s="4">
        <v>2.4132380439689322E-2</v>
      </c>
      <c r="P22" s="4">
        <v>-6.896350901225908E-3</v>
      </c>
      <c r="Q22" s="4">
        <v>0.36860708469981757</v>
      </c>
      <c r="R22" s="4">
        <v>7.828550774855797E-2</v>
      </c>
      <c r="S22" s="4">
        <v>0.14170172059241029</v>
      </c>
      <c r="T22" s="2">
        <v>1</v>
      </c>
      <c r="U22" s="4">
        <v>-9.9250975449584861E-2</v>
      </c>
      <c r="V22" s="4">
        <v>-6.9812522700311306E-3</v>
      </c>
      <c r="W22" s="4">
        <v>-2.4672698704249693E-2</v>
      </c>
      <c r="X22" s="4">
        <v>6.6827658609034573E-3</v>
      </c>
      <c r="Y22" s="4">
        <v>-0.29404680720262011</v>
      </c>
      <c r="Z22" s="4">
        <v>0.1410378993708615</v>
      </c>
      <c r="AA22" s="4">
        <v>0.14295317195794366</v>
      </c>
      <c r="AB22" s="5">
        <v>0.76484257113433574</v>
      </c>
      <c r="AC22" s="4">
        <v>-3.3288715211870046E-2</v>
      </c>
      <c r="AD22" s="4">
        <v>9.1665146603992526E-2</v>
      </c>
      <c r="AE22" s="4">
        <v>4.1805605797032061E-2</v>
      </c>
      <c r="AF22" s="4">
        <v>2.3995850354038426E-2</v>
      </c>
      <c r="AG22" s="4">
        <v>0.13528277912611944</v>
      </c>
      <c r="AH22" s="4">
        <v>-1.8425099545482077E-2</v>
      </c>
      <c r="AI22" s="4">
        <v>6.026658982609405E-2</v>
      </c>
      <c r="AJ22" s="4">
        <v>0.43346156332966035</v>
      </c>
      <c r="AK22" s="4">
        <v>7.3385643290056424E-2</v>
      </c>
      <c r="AL22" s="4">
        <v>-0.25183831276969859</v>
      </c>
      <c r="AM22" s="4">
        <v>5.676354567162268E-2</v>
      </c>
      <c r="AN22" s="4">
        <v>-1.9920135515172948E-2</v>
      </c>
      <c r="AO22" s="4">
        <v>-5.8127911823140588E-2</v>
      </c>
      <c r="AP22" s="4">
        <v>6.2963834280254528E-3</v>
      </c>
    </row>
    <row r="23" spans="1:42" x14ac:dyDescent="0.15">
      <c r="A23" s="3" t="s">
        <v>46</v>
      </c>
      <c r="B23" s="3" t="s">
        <v>20</v>
      </c>
      <c r="C23" s="4">
        <v>0.18390631046373174</v>
      </c>
      <c r="D23" s="4">
        <v>8.5832482770994874E-3</v>
      </c>
      <c r="E23" s="4">
        <v>4.2907013688780464E-2</v>
      </c>
      <c r="F23" s="4">
        <v>-8.2808840927092048E-4</v>
      </c>
      <c r="G23" s="4">
        <v>-3.1353635068002324E-2</v>
      </c>
      <c r="H23" s="4">
        <v>0.32248790927759963</v>
      </c>
      <c r="I23" s="4">
        <v>3.3901364759353701E-2</v>
      </c>
      <c r="J23" s="4">
        <v>5.8236906091473764E-2</v>
      </c>
      <c r="K23" s="4">
        <v>0.24824234894224234</v>
      </c>
      <c r="L23" s="4">
        <v>1.247632987837219E-2</v>
      </c>
      <c r="M23" s="4">
        <v>1.6570984875134726E-2</v>
      </c>
      <c r="N23" s="4">
        <v>1.2850319853347517E-2</v>
      </c>
      <c r="O23" s="4">
        <v>-2.0474684851496124E-2</v>
      </c>
      <c r="P23" s="4">
        <v>-7.733647104969113E-3</v>
      </c>
      <c r="Q23" s="4">
        <v>-0.23902517697598621</v>
      </c>
      <c r="R23" s="4">
        <v>-0.21585274545718436</v>
      </c>
      <c r="S23" s="4">
        <v>-0.2542747215401237</v>
      </c>
      <c r="T23" s="4">
        <v>-9.9250975449584861E-2</v>
      </c>
      <c r="U23" s="2">
        <v>1</v>
      </c>
      <c r="V23" s="4">
        <v>6.8274039686015342E-3</v>
      </c>
      <c r="W23" s="4">
        <v>3.444191706259904E-2</v>
      </c>
      <c r="X23" s="4">
        <v>-2.94242727033641E-3</v>
      </c>
      <c r="Y23" s="4">
        <v>9.9655602993590039E-2</v>
      </c>
      <c r="Z23" s="4">
        <v>-0.29685127717545357</v>
      </c>
      <c r="AA23" s="4">
        <v>-5.6048430742052749E-2</v>
      </c>
      <c r="AB23" s="4">
        <v>-9.4068456662034269E-2</v>
      </c>
      <c r="AC23" s="4">
        <v>0.25096262878262843</v>
      </c>
      <c r="AD23" s="4">
        <v>-0.13385656973193033</v>
      </c>
      <c r="AE23" s="4">
        <v>-0.22050592064447069</v>
      </c>
      <c r="AF23" s="4">
        <v>-0.15060340362679783</v>
      </c>
      <c r="AG23" s="4">
        <v>-0.14770836855320102</v>
      </c>
      <c r="AH23" s="4">
        <v>1.2295699219923477E-2</v>
      </c>
      <c r="AI23" s="4">
        <v>-0.23878372823397156</v>
      </c>
      <c r="AJ23" s="4">
        <v>-0.11180787817254101</v>
      </c>
      <c r="AK23" s="4">
        <v>-0.13222996343734827</v>
      </c>
      <c r="AL23" s="4">
        <v>0.1188462134521287</v>
      </c>
      <c r="AM23" s="4">
        <v>-3.7745858732000953E-2</v>
      </c>
      <c r="AN23" s="4">
        <v>8.4834225767745561E-3</v>
      </c>
      <c r="AO23" s="4">
        <v>3.4221312712849564E-3</v>
      </c>
      <c r="AP23" s="4">
        <v>1.2188516066012661E-3</v>
      </c>
    </row>
    <row r="24" spans="1:42" x14ac:dyDescent="0.15">
      <c r="A24" s="3" t="s">
        <v>46</v>
      </c>
      <c r="B24" s="3" t="s">
        <v>21</v>
      </c>
      <c r="C24" s="4">
        <v>-1.8027035352215025E-2</v>
      </c>
      <c r="D24" s="4">
        <v>2.2424217700345615E-2</v>
      </c>
      <c r="E24" s="4">
        <v>8.1194314297505527E-3</v>
      </c>
      <c r="F24" s="4">
        <v>1.6007061847241256E-2</v>
      </c>
      <c r="G24" s="4">
        <v>1.8502187407663202E-2</v>
      </c>
      <c r="H24" s="4">
        <v>-2.3490524261898404E-2</v>
      </c>
      <c r="I24" s="4">
        <v>0.11096194682550986</v>
      </c>
      <c r="J24" s="4">
        <v>1.8065063123207502E-2</v>
      </c>
      <c r="K24" s="4">
        <v>4.3251024363488919E-3</v>
      </c>
      <c r="L24" s="4">
        <v>-0.26583162194698345</v>
      </c>
      <c r="M24" s="4">
        <v>-3.1802282653532646E-2</v>
      </c>
      <c r="N24" s="4">
        <v>0.12918553658676973</v>
      </c>
      <c r="O24" s="4">
        <v>6.0517270677706146E-2</v>
      </c>
      <c r="P24" s="4">
        <v>1.1698768811974214E-2</v>
      </c>
      <c r="Q24" s="4">
        <v>-7.277734173785072E-2</v>
      </c>
      <c r="R24" s="4">
        <v>-5.6146923658962351E-2</v>
      </c>
      <c r="S24" s="4">
        <v>-7.665439645595859E-2</v>
      </c>
      <c r="T24" s="4">
        <v>-6.9812522700311306E-3</v>
      </c>
      <c r="U24" s="4">
        <v>6.8274039686015342E-3</v>
      </c>
      <c r="V24" s="2">
        <v>1</v>
      </c>
      <c r="W24" s="4">
        <v>1.0563278620967821E-2</v>
      </c>
      <c r="X24" s="4">
        <v>1.105796496585585E-2</v>
      </c>
      <c r="Y24" s="4">
        <v>4.5808596998063195E-2</v>
      </c>
      <c r="Z24" s="4">
        <v>-5.2235194287141941E-2</v>
      </c>
      <c r="AA24" s="4">
        <v>4.5091242696628222E-3</v>
      </c>
      <c r="AB24" s="4">
        <v>-6.7302078918612552E-3</v>
      </c>
      <c r="AC24" s="4">
        <v>7.3752520369188192E-3</v>
      </c>
      <c r="AD24" s="4">
        <v>-5.4946098255031696E-2</v>
      </c>
      <c r="AE24" s="4">
        <v>-3.8367133517217912E-2</v>
      </c>
      <c r="AF24" s="4">
        <v>-5.1265807381258292E-2</v>
      </c>
      <c r="AG24" s="4">
        <v>-3.9849965986142627E-2</v>
      </c>
      <c r="AH24" s="4">
        <v>-4.8249156592501938E-2</v>
      </c>
      <c r="AI24" s="4">
        <v>-6.2083756043341862E-2</v>
      </c>
      <c r="AJ24" s="4">
        <v>-3.7828154772263076E-2</v>
      </c>
      <c r="AK24" s="4">
        <v>-5.5658772825808764E-2</v>
      </c>
      <c r="AL24" s="4">
        <v>4.9005544689003436E-2</v>
      </c>
      <c r="AM24" s="4">
        <v>-4.7969162215323352E-2</v>
      </c>
      <c r="AN24" s="4">
        <v>3.7630857848523448E-3</v>
      </c>
      <c r="AO24" s="4">
        <v>1.8407185740741461E-2</v>
      </c>
      <c r="AP24" s="4">
        <v>-1.1031574598206851E-2</v>
      </c>
    </row>
    <row r="25" spans="1:42" x14ac:dyDescent="0.15">
      <c r="A25" s="3" t="s">
        <v>46</v>
      </c>
      <c r="B25" s="3" t="s">
        <v>22</v>
      </c>
      <c r="C25" s="4">
        <v>3.2688009842762336E-2</v>
      </c>
      <c r="D25" s="4">
        <v>-2.8359944022523947E-3</v>
      </c>
      <c r="E25" s="6">
        <v>0.62748418337838796</v>
      </c>
      <c r="F25" s="4">
        <v>-3.3125745321647472E-3</v>
      </c>
      <c r="G25" s="4">
        <v>3.0618771660016069E-2</v>
      </c>
      <c r="H25" s="4">
        <v>4.7326443066439836E-2</v>
      </c>
      <c r="I25" s="4">
        <v>1.3365312174586039E-2</v>
      </c>
      <c r="J25" s="4">
        <v>-1.5341637879754445E-2</v>
      </c>
      <c r="K25" s="4">
        <v>3.0999427628421661E-2</v>
      </c>
      <c r="L25" s="4">
        <v>3.8210561054416101E-2</v>
      </c>
      <c r="M25" s="4">
        <v>5.3108153339523928E-2</v>
      </c>
      <c r="N25" s="4">
        <v>5.3034307886250884E-3</v>
      </c>
      <c r="O25" s="4">
        <v>-5.9278754490569116E-2</v>
      </c>
      <c r="P25" s="4">
        <v>-1.4922142688558128E-2</v>
      </c>
      <c r="Q25" s="4">
        <v>4.5315589789333768E-3</v>
      </c>
      <c r="R25" s="4">
        <v>2.5002691941326205E-2</v>
      </c>
      <c r="S25" s="4">
        <v>1.6481037285139631E-2</v>
      </c>
      <c r="T25" s="4">
        <v>-2.4672698704249693E-2</v>
      </c>
      <c r="U25" s="4">
        <v>3.444191706259904E-2</v>
      </c>
      <c r="V25" s="4">
        <v>1.0563278620967821E-2</v>
      </c>
      <c r="W25" s="2">
        <v>1</v>
      </c>
      <c r="X25" s="4">
        <v>3.5440085742399324E-4</v>
      </c>
      <c r="Y25" s="4">
        <v>1.4462909648500366E-2</v>
      </c>
      <c r="Z25" s="4">
        <v>2.2023284072870131E-2</v>
      </c>
      <c r="AA25" s="4">
        <v>-2.1778350259721229E-2</v>
      </c>
      <c r="AB25" s="4">
        <v>-1.0173155147994294E-2</v>
      </c>
      <c r="AC25" s="4">
        <v>2.9727900647777538E-2</v>
      </c>
      <c r="AD25" s="4">
        <v>2.7192066209470095E-2</v>
      </c>
      <c r="AE25" s="4">
        <v>9.9340211107150807E-3</v>
      </c>
      <c r="AF25" s="4">
        <v>2.8697747402041052E-2</v>
      </c>
      <c r="AG25" s="4">
        <v>1.5812501883146576E-2</v>
      </c>
      <c r="AH25" s="4">
        <v>9.8038846570701471E-3</v>
      </c>
      <c r="AI25" s="4">
        <v>2.9733948775584707E-2</v>
      </c>
      <c r="AJ25" s="4">
        <v>2.2810169594622565E-2</v>
      </c>
      <c r="AK25" s="4">
        <v>2.7176670842782014E-2</v>
      </c>
      <c r="AL25" s="4">
        <v>8.5781674218700053E-3</v>
      </c>
      <c r="AM25" s="4">
        <v>7.5413723102708094E-2</v>
      </c>
      <c r="AN25" s="4">
        <v>7.783873436618019E-2</v>
      </c>
      <c r="AO25" s="4">
        <v>5.2457079502135469E-2</v>
      </c>
      <c r="AP25" s="4">
        <v>1.0178422562385584E-2</v>
      </c>
    </row>
    <row r="26" spans="1:42" x14ac:dyDescent="0.15">
      <c r="A26" s="3" t="s">
        <v>46</v>
      </c>
      <c r="B26" s="3" t="s">
        <v>23</v>
      </c>
      <c r="C26" s="4">
        <v>1.1354354222436084E-2</v>
      </c>
      <c r="D26" s="4">
        <v>1.9719515488105029E-2</v>
      </c>
      <c r="E26" s="4">
        <v>-1.1796183403943636E-2</v>
      </c>
      <c r="F26" s="4">
        <v>2.1782151993693995E-2</v>
      </c>
      <c r="G26" s="4">
        <v>-9.415444248336808E-3</v>
      </c>
      <c r="H26" s="4">
        <v>7.3315224783057588E-3</v>
      </c>
      <c r="I26" s="4">
        <v>2.4207014049158086E-2</v>
      </c>
      <c r="J26" s="4">
        <v>-3.3700060399792846E-5</v>
      </c>
      <c r="K26" s="4">
        <v>1.9408968901531615E-2</v>
      </c>
      <c r="L26" s="4">
        <v>-2.3630348386875252E-3</v>
      </c>
      <c r="M26" s="4">
        <v>6.0149937393612289E-2</v>
      </c>
      <c r="N26" s="4">
        <v>4.4856236711202351E-3</v>
      </c>
      <c r="O26" s="4">
        <v>3.9388438036308641E-3</v>
      </c>
      <c r="P26" s="4">
        <v>5.1414720551485726E-3</v>
      </c>
      <c r="Q26" s="4">
        <v>1.2035180168641607E-2</v>
      </c>
      <c r="R26" s="4">
        <v>1.8573883668058476E-2</v>
      </c>
      <c r="S26" s="4">
        <v>2.2241434067082694E-2</v>
      </c>
      <c r="T26" s="4">
        <v>6.6827658609034573E-3</v>
      </c>
      <c r="U26" s="4">
        <v>-2.94242727033641E-3</v>
      </c>
      <c r="V26" s="4">
        <v>1.105796496585585E-2</v>
      </c>
      <c r="W26" s="4">
        <v>3.5440085742399324E-4</v>
      </c>
      <c r="X26" s="2">
        <v>1</v>
      </c>
      <c r="Y26" s="4">
        <v>-4.2199806136284579E-3</v>
      </c>
      <c r="Z26" s="4">
        <v>2.5071366283113978E-2</v>
      </c>
      <c r="AA26" s="4">
        <v>5.9097509830981654E-3</v>
      </c>
      <c r="AB26" s="4">
        <v>2.6220910519832775E-3</v>
      </c>
      <c r="AC26" s="4">
        <v>1.826288123173286E-2</v>
      </c>
      <c r="AD26" s="4">
        <v>9.7076817569388563E-3</v>
      </c>
      <c r="AE26" s="4">
        <v>2.6570075263535563E-2</v>
      </c>
      <c r="AF26" s="4">
        <v>1.3137305602352635E-2</v>
      </c>
      <c r="AG26" s="4">
        <v>7.6997468919411012E-3</v>
      </c>
      <c r="AH26" s="4">
        <v>1.9939793933251532E-2</v>
      </c>
      <c r="AI26" s="4">
        <v>1.8632333427630304E-2</v>
      </c>
      <c r="AJ26" s="4">
        <v>1.3216352712960084E-2</v>
      </c>
      <c r="AK26" s="4">
        <v>9.417010117628348E-3</v>
      </c>
      <c r="AL26" s="4">
        <v>-1.5579018156301036E-3</v>
      </c>
      <c r="AM26" s="4">
        <v>-7.0422476935861469E-2</v>
      </c>
      <c r="AN26" s="4">
        <v>-1.4893227282778186E-3</v>
      </c>
      <c r="AO26" s="4">
        <v>-2.4496869940343013E-2</v>
      </c>
      <c r="AP26" s="4">
        <v>1.742743782786316E-2</v>
      </c>
    </row>
    <row r="27" spans="1:42" x14ac:dyDescent="0.15">
      <c r="A27" s="3" t="s">
        <v>46</v>
      </c>
      <c r="B27" s="3" t="s">
        <v>24</v>
      </c>
      <c r="C27" s="4">
        <v>2.0927696563546292E-2</v>
      </c>
      <c r="D27" s="4">
        <v>0.35838406960074337</v>
      </c>
      <c r="E27" s="4">
        <v>2.2133468761658937E-2</v>
      </c>
      <c r="F27" s="4">
        <v>0.33575156214393881</v>
      </c>
      <c r="G27" s="4">
        <v>2.9913630398533415E-2</v>
      </c>
      <c r="H27" s="4">
        <v>2.2784496719168299E-2</v>
      </c>
      <c r="I27" s="4">
        <v>9.5242297958170255E-2</v>
      </c>
      <c r="J27" s="4">
        <v>7.6039669104555618E-2</v>
      </c>
      <c r="K27" s="4">
        <v>4.5147263310215555E-2</v>
      </c>
      <c r="L27" s="4">
        <v>-1.0763529617608869E-2</v>
      </c>
      <c r="M27" s="4">
        <v>0.11684189621900776</v>
      </c>
      <c r="N27" s="4">
        <v>4.2032903817245559E-2</v>
      </c>
      <c r="O27" s="4">
        <v>-1.316642779420792E-2</v>
      </c>
      <c r="P27" s="4">
        <v>-3.8416337205883443E-3</v>
      </c>
      <c r="Q27" s="4">
        <v>-0.40108973457254699</v>
      </c>
      <c r="R27" s="4">
        <v>-0.17941061377167025</v>
      </c>
      <c r="S27" s="4">
        <v>-0.2332178648885658</v>
      </c>
      <c r="T27" s="4">
        <v>-0.29404680720262011</v>
      </c>
      <c r="U27" s="4">
        <v>9.9655602993590039E-2</v>
      </c>
      <c r="V27" s="4">
        <v>4.5808596998063195E-2</v>
      </c>
      <c r="W27" s="4">
        <v>1.4462909648500366E-2</v>
      </c>
      <c r="X27" s="4">
        <v>-4.2199806136284579E-3</v>
      </c>
      <c r="Y27" s="2">
        <v>1</v>
      </c>
      <c r="Z27" s="4">
        <v>-0.20704419501781943</v>
      </c>
      <c r="AA27" s="4">
        <v>-0.21302977165096915</v>
      </c>
      <c r="AB27" s="4">
        <v>-0.31835932539581174</v>
      </c>
      <c r="AC27" s="4">
        <v>6.29365613135624E-2</v>
      </c>
      <c r="AD27" s="4">
        <v>-0.19538855937076552</v>
      </c>
      <c r="AE27" s="4">
        <v>-2.0276719381824206E-2</v>
      </c>
      <c r="AF27" s="4">
        <v>-0.14413236250181069</v>
      </c>
      <c r="AG27" s="4">
        <v>-0.25321475278099215</v>
      </c>
      <c r="AH27" s="4">
        <v>3.143361423588948E-2</v>
      </c>
      <c r="AI27" s="4">
        <v>-0.17590072359360712</v>
      </c>
      <c r="AJ27" s="4">
        <v>-0.45129766039251035</v>
      </c>
      <c r="AK27" s="4">
        <v>-0.19286102224876511</v>
      </c>
      <c r="AL27" s="4">
        <v>0.31988093096132758</v>
      </c>
      <c r="AM27" s="4">
        <v>-0.17262846082788666</v>
      </c>
      <c r="AN27" s="4">
        <v>3.0456933345080171E-2</v>
      </c>
      <c r="AO27" s="4">
        <v>4.9898250697950078E-2</v>
      </c>
      <c r="AP27" s="4">
        <v>3.6042085380949163E-2</v>
      </c>
    </row>
    <row r="28" spans="1:42" x14ac:dyDescent="0.15">
      <c r="A28" s="3" t="s">
        <v>46</v>
      </c>
      <c r="B28" s="3" t="s">
        <v>25</v>
      </c>
      <c r="C28" s="4">
        <v>7.4100500535412922E-2</v>
      </c>
      <c r="D28" s="4">
        <v>-6.0193128529099992E-2</v>
      </c>
      <c r="E28" s="4">
        <v>2.7992903823629203E-2</v>
      </c>
      <c r="F28" s="4">
        <v>-3.8280628329342613E-2</v>
      </c>
      <c r="G28" s="4">
        <v>3.922663207646096E-2</v>
      </c>
      <c r="H28" s="4">
        <v>3.839518720382655E-2</v>
      </c>
      <c r="I28" s="4">
        <v>-2.5062146378912173E-2</v>
      </c>
      <c r="J28" s="4">
        <v>-4.8327145894623953E-2</v>
      </c>
      <c r="K28" s="4">
        <v>6.1624469859140545E-2</v>
      </c>
      <c r="L28" s="4">
        <v>4.6962881721412636E-2</v>
      </c>
      <c r="M28" s="4">
        <v>1.7728629800935838E-2</v>
      </c>
      <c r="N28" s="4">
        <v>-1.7969339073380736E-2</v>
      </c>
      <c r="O28" s="4">
        <v>3.9629747875878354E-3</v>
      </c>
      <c r="P28" s="4">
        <v>2.2307475021385248E-2</v>
      </c>
      <c r="Q28" s="9">
        <v>0.50577703286356646</v>
      </c>
      <c r="R28" s="4">
        <v>0.42534525340957946</v>
      </c>
      <c r="S28" s="9">
        <v>0.53999020177176127</v>
      </c>
      <c r="T28" s="4">
        <v>0.1410378993708615</v>
      </c>
      <c r="U28" s="4">
        <v>-0.29685127717545357</v>
      </c>
      <c r="V28" s="4">
        <v>-5.2235194287141941E-2</v>
      </c>
      <c r="W28" s="4">
        <v>2.2023284072870131E-2</v>
      </c>
      <c r="X28" s="4">
        <v>2.5071366283113978E-2</v>
      </c>
      <c r="Y28" s="4">
        <v>-0.20704419501781943</v>
      </c>
      <c r="Z28" s="2">
        <v>1</v>
      </c>
      <c r="AA28" s="4">
        <v>9.5352989361381271E-2</v>
      </c>
      <c r="AB28" s="4">
        <v>0.13815540031781298</v>
      </c>
      <c r="AC28" s="4">
        <v>3.0724797090811488E-2</v>
      </c>
      <c r="AD28" s="4">
        <v>0.25250351444335467</v>
      </c>
      <c r="AE28" s="4">
        <v>0.46182786100378787</v>
      </c>
      <c r="AF28" s="4">
        <v>0.28464835464860383</v>
      </c>
      <c r="AG28" s="4">
        <v>0.28233540860562645</v>
      </c>
      <c r="AH28" s="4">
        <v>7.5656930212725185E-3</v>
      </c>
      <c r="AI28" s="9">
        <v>0.57498043838866009</v>
      </c>
      <c r="AJ28" s="4">
        <v>0.24259965847543186</v>
      </c>
      <c r="AK28" s="4">
        <v>0.24870842827450995</v>
      </c>
      <c r="AL28" s="4">
        <v>-0.280266171475962</v>
      </c>
      <c r="AM28" s="4">
        <v>9.8281416631262247E-2</v>
      </c>
      <c r="AN28" s="4">
        <v>-4.013781903779305E-3</v>
      </c>
      <c r="AO28" s="4">
        <v>2.4494286939091062E-2</v>
      </c>
      <c r="AP28" s="4">
        <v>3.1662568414775813E-2</v>
      </c>
    </row>
    <row r="29" spans="1:42" x14ac:dyDescent="0.15">
      <c r="A29" s="3" t="s">
        <v>46</v>
      </c>
      <c r="B29" s="3" t="s">
        <v>26</v>
      </c>
      <c r="C29" s="4">
        <v>-2.3197576947069289E-2</v>
      </c>
      <c r="D29" s="4">
        <v>-0.17993002949888703</v>
      </c>
      <c r="E29" s="4">
        <v>-2.3183338030370673E-2</v>
      </c>
      <c r="F29" s="4">
        <v>-0.17502096554496546</v>
      </c>
      <c r="G29" s="4">
        <v>1.4526604305993916E-2</v>
      </c>
      <c r="H29" s="4">
        <v>-2.682177508968412E-2</v>
      </c>
      <c r="I29" s="4">
        <v>-2.4073763326764214E-2</v>
      </c>
      <c r="J29" s="4">
        <v>-1.7438099031021025E-2</v>
      </c>
      <c r="K29" s="4">
        <v>-1.3826641883392559E-2</v>
      </c>
      <c r="L29" s="4">
        <v>9.0311341842352743E-3</v>
      </c>
      <c r="M29" s="4">
        <v>-2.0730196035344664E-2</v>
      </c>
      <c r="N29" s="4">
        <v>-2.1473112341413629E-2</v>
      </c>
      <c r="O29" s="4">
        <v>1.5410397808351E-2</v>
      </c>
      <c r="P29" s="4">
        <v>0.1825991666620195</v>
      </c>
      <c r="Q29" s="4">
        <v>0.21693366493482852</v>
      </c>
      <c r="R29" s="4">
        <v>6.1832413705721116E-2</v>
      </c>
      <c r="S29" s="4">
        <v>9.8164259015282196E-2</v>
      </c>
      <c r="T29" s="4">
        <v>0.14295317195794366</v>
      </c>
      <c r="U29" s="4">
        <v>-5.6048430742052749E-2</v>
      </c>
      <c r="V29" s="4">
        <v>4.5091242696628222E-3</v>
      </c>
      <c r="W29" s="4">
        <v>-2.1778350259721229E-2</v>
      </c>
      <c r="X29" s="4">
        <v>5.9097509830981654E-3</v>
      </c>
      <c r="Y29" s="4">
        <v>-0.21302977165096915</v>
      </c>
      <c r="Z29" s="4">
        <v>9.5352989361381271E-2</v>
      </c>
      <c r="AA29" s="2">
        <v>1</v>
      </c>
      <c r="AB29" s="4">
        <v>0.27405208399672792</v>
      </c>
      <c r="AC29" s="4">
        <v>-2.3066739792648401E-2</v>
      </c>
      <c r="AD29" s="4">
        <v>4.3820049619130275E-2</v>
      </c>
      <c r="AE29" s="4">
        <v>2.2436810845478265E-2</v>
      </c>
      <c r="AF29" s="4">
        <v>2.0483092008656924E-2</v>
      </c>
      <c r="AG29" s="4">
        <v>9.508903175875133E-2</v>
      </c>
      <c r="AH29" s="4">
        <v>-2.5192497240914102E-2</v>
      </c>
      <c r="AI29" s="4">
        <v>4.3203675531317563E-2</v>
      </c>
      <c r="AJ29" s="4">
        <v>0.28319950235270813</v>
      </c>
      <c r="AK29" s="4">
        <v>3.9744868684207894E-2</v>
      </c>
      <c r="AL29" s="4">
        <v>-7.1047557689857987E-2</v>
      </c>
      <c r="AM29" s="4">
        <v>5.4919835094438818E-2</v>
      </c>
      <c r="AN29" s="4">
        <v>-6.2395346601311456E-3</v>
      </c>
      <c r="AO29" s="4">
        <v>-4.7005108921334381E-2</v>
      </c>
      <c r="AP29" s="4">
        <v>-1.4667071923529673E-2</v>
      </c>
    </row>
    <row r="30" spans="1:42" x14ac:dyDescent="0.15">
      <c r="A30" s="3" t="s">
        <v>46</v>
      </c>
      <c r="B30" s="3" t="s">
        <v>27</v>
      </c>
      <c r="C30" s="4">
        <v>-4.9598708678682067E-2</v>
      </c>
      <c r="D30" s="4">
        <v>-0.30274188619125975</v>
      </c>
      <c r="E30" s="4">
        <v>-1.4702102282721398E-2</v>
      </c>
      <c r="F30" s="4">
        <v>-0.27955933358428325</v>
      </c>
      <c r="G30" s="4">
        <v>-1.2839446043657127E-2</v>
      </c>
      <c r="H30" s="4">
        <v>-5.7441399511260004E-2</v>
      </c>
      <c r="I30" s="4">
        <v>-8.3450658337325345E-2</v>
      </c>
      <c r="J30" s="4">
        <v>-0.23306330224634333</v>
      </c>
      <c r="K30" s="4">
        <v>-5.3414715038881157E-3</v>
      </c>
      <c r="L30" s="4">
        <v>-3.2006016294922027E-3</v>
      </c>
      <c r="M30" s="4">
        <v>-7.6930271032048846E-3</v>
      </c>
      <c r="N30" s="4">
        <v>-4.2530665988724507E-2</v>
      </c>
      <c r="O30" s="4">
        <v>2.4407968318017038E-2</v>
      </c>
      <c r="P30" s="4">
        <v>-5.5178104193234758E-3</v>
      </c>
      <c r="Q30" s="4">
        <v>0.35532858175683357</v>
      </c>
      <c r="R30" s="4">
        <v>8.7687594847480232E-2</v>
      </c>
      <c r="S30" s="4">
        <v>0.14561526088919874</v>
      </c>
      <c r="T30" s="5">
        <v>0.76484257113433574</v>
      </c>
      <c r="U30" s="4">
        <v>-9.4068456662034269E-2</v>
      </c>
      <c r="V30" s="4">
        <v>-6.7302078918612552E-3</v>
      </c>
      <c r="W30" s="4">
        <v>-1.0173155147994294E-2</v>
      </c>
      <c r="X30" s="4">
        <v>2.6220910519832775E-3</v>
      </c>
      <c r="Y30" s="4">
        <v>-0.31835932539581174</v>
      </c>
      <c r="Z30" s="4">
        <v>0.13815540031781298</v>
      </c>
      <c r="AA30" s="4">
        <v>0.27405208399672792</v>
      </c>
      <c r="AB30" s="2">
        <v>1</v>
      </c>
      <c r="AC30" s="4">
        <v>-1.7993219913125167E-2</v>
      </c>
      <c r="AD30" s="4">
        <v>0.10044123147144536</v>
      </c>
      <c r="AE30" s="4">
        <v>4.4701295534604918E-2</v>
      </c>
      <c r="AF30" s="4">
        <v>3.6106472934730453E-2</v>
      </c>
      <c r="AG30" s="4">
        <v>0.15161400305172246</v>
      </c>
      <c r="AH30" s="4">
        <v>-2.7989734558158282E-2</v>
      </c>
      <c r="AI30" s="4">
        <v>6.704555642002899E-2</v>
      </c>
      <c r="AJ30" s="9">
        <v>0.54368260024346649</v>
      </c>
      <c r="AK30" s="4">
        <v>8.3249409967811661E-2</v>
      </c>
      <c r="AL30" s="4">
        <v>-0.18967797421473054</v>
      </c>
      <c r="AM30" s="4">
        <v>0.23577091752004195</v>
      </c>
      <c r="AN30" s="4">
        <v>-3.6115961417695035E-4</v>
      </c>
      <c r="AO30" s="4">
        <v>-6.6329486969255488E-2</v>
      </c>
      <c r="AP30" s="4">
        <v>-1.1918919302294714E-2</v>
      </c>
    </row>
    <row r="31" spans="1:42" x14ac:dyDescent="0.15">
      <c r="A31" s="3" t="s">
        <v>46</v>
      </c>
      <c r="B31" s="3" t="s">
        <v>28</v>
      </c>
      <c r="C31" s="4">
        <v>0.24600799000522164</v>
      </c>
      <c r="D31" s="4">
        <v>0.10068766988970966</v>
      </c>
      <c r="E31" s="4">
        <v>4.29552306029269E-2</v>
      </c>
      <c r="F31" s="4">
        <v>0.10983848617750842</v>
      </c>
      <c r="G31" s="4">
        <v>6.3299509402755166E-2</v>
      </c>
      <c r="H31" s="4">
        <v>9.8497540028586447E-2</v>
      </c>
      <c r="I31" s="4">
        <v>3.3738848549410561E-2</v>
      </c>
      <c r="J31" s="4">
        <v>3.6658470434642439E-2</v>
      </c>
      <c r="K31" s="8">
        <v>0.96497946252549061</v>
      </c>
      <c r="L31" s="4">
        <v>3.1661633058068551E-2</v>
      </c>
      <c r="M31" s="4">
        <v>5.2381323805822076E-2</v>
      </c>
      <c r="N31" s="4">
        <v>2.7764523437762798E-2</v>
      </c>
      <c r="O31" s="4">
        <v>1.7372191625689343E-2</v>
      </c>
      <c r="P31" s="4">
        <v>2.1453797524365097E-2</v>
      </c>
      <c r="Q31" s="4">
        <v>-4.6539061038773082E-2</v>
      </c>
      <c r="R31" s="4">
        <v>0.14831659271759062</v>
      </c>
      <c r="S31" s="4">
        <v>1.9167099566206974E-2</v>
      </c>
      <c r="T31" s="4">
        <v>-3.3288715211870046E-2</v>
      </c>
      <c r="U31" s="4">
        <v>0.25096262878262843</v>
      </c>
      <c r="V31" s="4">
        <v>7.3752520369188192E-3</v>
      </c>
      <c r="W31" s="4">
        <v>2.9727900647777538E-2</v>
      </c>
      <c r="X31" s="4">
        <v>1.826288123173286E-2</v>
      </c>
      <c r="Y31" s="4">
        <v>6.29365613135624E-2</v>
      </c>
      <c r="Z31" s="4">
        <v>3.0724797090811488E-2</v>
      </c>
      <c r="AA31" s="4">
        <v>-2.3066739792648401E-2</v>
      </c>
      <c r="AB31" s="4">
        <v>-1.7993219913125167E-2</v>
      </c>
      <c r="AC31" s="2">
        <v>1</v>
      </c>
      <c r="AD31" s="4">
        <v>0.25768389099916705</v>
      </c>
      <c r="AE31" s="4">
        <v>2.9764378579320822E-2</v>
      </c>
      <c r="AF31" s="4">
        <v>0.25863994301449783</v>
      </c>
      <c r="AG31" s="4">
        <v>0.23464715220247481</v>
      </c>
      <c r="AH31" s="4">
        <v>1.4971654210294939E-2</v>
      </c>
      <c r="AI31" s="4">
        <v>0.17157115603935125</v>
      </c>
      <c r="AJ31" s="4">
        <v>-3.610455635499582E-2</v>
      </c>
      <c r="AK31" s="4">
        <v>0.25097710416337715</v>
      </c>
      <c r="AL31" s="4">
        <v>8.4107124664091176E-2</v>
      </c>
      <c r="AM31" s="4">
        <v>4.5458928413021439E-2</v>
      </c>
      <c r="AN31" s="4">
        <v>3.3399158900065527E-2</v>
      </c>
      <c r="AO31" s="4">
        <v>4.4194464091151367E-2</v>
      </c>
      <c r="AP31" s="4">
        <v>2.0719869156929482E-2</v>
      </c>
    </row>
    <row r="32" spans="1:42" x14ac:dyDescent="0.15">
      <c r="A32" s="3" t="s">
        <v>46</v>
      </c>
      <c r="B32" s="3" t="s">
        <v>29</v>
      </c>
      <c r="C32" s="4">
        <v>0.24874363615342132</v>
      </c>
      <c r="D32" s="4">
        <v>2.3033243033520752E-5</v>
      </c>
      <c r="E32" s="4">
        <v>3.108069150632509E-2</v>
      </c>
      <c r="F32" s="4">
        <v>-8.1548405047499814E-3</v>
      </c>
      <c r="G32" s="4">
        <v>5.5811638541395814E-2</v>
      </c>
      <c r="H32" s="4">
        <v>5.8883159070200447E-2</v>
      </c>
      <c r="I32" s="4">
        <v>-1.8929532558523858E-2</v>
      </c>
      <c r="J32" s="4">
        <v>6.9657709226356689E-3</v>
      </c>
      <c r="K32" s="4">
        <v>0.26525001764066597</v>
      </c>
      <c r="L32" s="4">
        <v>5.5262868880806733E-2</v>
      </c>
      <c r="M32" s="4">
        <v>-3.3335594462923217E-2</v>
      </c>
      <c r="N32" s="4">
        <v>-3.3818582048272092E-3</v>
      </c>
      <c r="O32" s="4">
        <v>6.1665095446316774E-4</v>
      </c>
      <c r="P32" s="4">
        <v>1.6202558703533793E-2</v>
      </c>
      <c r="Q32" s="4">
        <v>0.40533835690628428</v>
      </c>
      <c r="R32" s="9">
        <v>0.52570277423306366</v>
      </c>
      <c r="S32" s="4">
        <v>0.40852160990058001</v>
      </c>
      <c r="T32" s="4">
        <v>9.1665146603992526E-2</v>
      </c>
      <c r="U32" s="4">
        <v>-0.13385656973193033</v>
      </c>
      <c r="V32" s="4">
        <v>-5.4946098255031696E-2</v>
      </c>
      <c r="W32" s="4">
        <v>2.7192066209470095E-2</v>
      </c>
      <c r="X32" s="4">
        <v>9.7076817569388563E-3</v>
      </c>
      <c r="Y32" s="4">
        <v>-0.19538855937076552</v>
      </c>
      <c r="Z32" s="4">
        <v>0.25250351444335467</v>
      </c>
      <c r="AA32" s="4">
        <v>4.3820049619130275E-2</v>
      </c>
      <c r="AB32" s="4">
        <v>0.10044123147144536</v>
      </c>
      <c r="AC32" s="4">
        <v>0.25768389099916705</v>
      </c>
      <c r="AD32" s="2">
        <v>1</v>
      </c>
      <c r="AE32" s="4">
        <v>0.11472127190597896</v>
      </c>
      <c r="AF32" s="5">
        <v>0.73481426867640542</v>
      </c>
      <c r="AG32" s="9">
        <v>0.58229963129446283</v>
      </c>
      <c r="AH32" s="4">
        <v>-4.7103298415385934E-4</v>
      </c>
      <c r="AI32" s="5">
        <v>0.72180795021482813</v>
      </c>
      <c r="AJ32" s="4">
        <v>0.25998945916310279</v>
      </c>
      <c r="AK32" s="8">
        <v>0.98647930525649463</v>
      </c>
      <c r="AL32" s="4">
        <v>-0.18757753910947739</v>
      </c>
      <c r="AM32" s="4">
        <v>7.1635092441683215E-2</v>
      </c>
      <c r="AN32" s="4">
        <v>-7.1368742221776336E-3</v>
      </c>
      <c r="AO32" s="4">
        <v>3.2011466748854848E-2</v>
      </c>
      <c r="AP32" s="4">
        <v>1.4870281143830853E-2</v>
      </c>
    </row>
    <row r="33" spans="1:42" x14ac:dyDescent="0.15">
      <c r="A33" s="3" t="s">
        <v>46</v>
      </c>
      <c r="B33" s="3" t="s">
        <v>30</v>
      </c>
      <c r="C33" s="4">
        <v>3.5288074608849668E-2</v>
      </c>
      <c r="D33" s="4">
        <v>0.10815011569831846</v>
      </c>
      <c r="E33" s="4">
        <v>1.3105349489292923E-2</v>
      </c>
      <c r="F33" s="4">
        <v>0.19449879497807937</v>
      </c>
      <c r="G33" s="4">
        <v>5.6627042739161193E-2</v>
      </c>
      <c r="H33" s="4">
        <v>-3.8182420881012792E-2</v>
      </c>
      <c r="I33" s="4">
        <v>1.1795530653976656E-2</v>
      </c>
      <c r="J33" s="4">
        <v>-2.6656563915952561E-2</v>
      </c>
      <c r="K33" s="4">
        <v>4.3494494781555676E-2</v>
      </c>
      <c r="L33" s="4">
        <v>3.7750293284925636E-2</v>
      </c>
      <c r="M33" s="4">
        <v>6.7617072689218433E-2</v>
      </c>
      <c r="N33" s="4">
        <v>-2.390260154367095E-3</v>
      </c>
      <c r="O33" s="4">
        <v>8.0656525057997731E-3</v>
      </c>
      <c r="P33" s="4">
        <v>1.5979936908178966E-2</v>
      </c>
      <c r="Q33" s="4">
        <v>0.25555406751078313</v>
      </c>
      <c r="R33" s="4">
        <v>0.25092857754561748</v>
      </c>
      <c r="S33" s="4">
        <v>0.43909507017230309</v>
      </c>
      <c r="T33" s="4">
        <v>4.1805605797032061E-2</v>
      </c>
      <c r="U33" s="4">
        <v>-0.22050592064447069</v>
      </c>
      <c r="V33" s="4">
        <v>-3.8367133517217912E-2</v>
      </c>
      <c r="W33" s="4">
        <v>9.9340211107150807E-3</v>
      </c>
      <c r="X33" s="4">
        <v>2.6570075263535563E-2</v>
      </c>
      <c r="Y33" s="4">
        <v>-2.0276719381824206E-2</v>
      </c>
      <c r="Z33" s="4">
        <v>0.46182786100378787</v>
      </c>
      <c r="AA33" s="4">
        <v>2.2436810845478265E-2</v>
      </c>
      <c r="AB33" s="4">
        <v>4.4701295534604918E-2</v>
      </c>
      <c r="AC33" s="4">
        <v>2.9764378579320822E-2</v>
      </c>
      <c r="AD33" s="4">
        <v>0.11472127190597896</v>
      </c>
      <c r="AE33" s="2">
        <v>1</v>
      </c>
      <c r="AF33" s="4">
        <v>0.15995395187108774</v>
      </c>
      <c r="AG33" s="4">
        <v>0.11035158568638596</v>
      </c>
      <c r="AH33" s="4">
        <v>2.0122811259081989E-2</v>
      </c>
      <c r="AI33" s="4">
        <v>0.31878893266486652</v>
      </c>
      <c r="AJ33" s="4">
        <v>3.1022750796514696E-2</v>
      </c>
      <c r="AK33" s="4">
        <v>0.11214843982829503</v>
      </c>
      <c r="AL33" s="4">
        <v>-6.5565751683329385E-2</v>
      </c>
      <c r="AM33" s="4">
        <v>7.1273385624987015E-2</v>
      </c>
      <c r="AN33" s="4">
        <v>1.8523349380418597E-2</v>
      </c>
      <c r="AO33" s="4">
        <v>3.1208011751600661E-2</v>
      </c>
      <c r="AP33" s="4">
        <v>3.3464731401716699E-2</v>
      </c>
    </row>
    <row r="34" spans="1:42" x14ac:dyDescent="0.15">
      <c r="A34" s="3" t="s">
        <v>46</v>
      </c>
      <c r="B34" s="3" t="s">
        <v>31</v>
      </c>
      <c r="C34" s="4">
        <v>0.25560140720314312</v>
      </c>
      <c r="D34" s="4">
        <v>5.066793108377967E-2</v>
      </c>
      <c r="E34" s="4">
        <v>3.5070828427782329E-2</v>
      </c>
      <c r="F34" s="4">
        <v>4.6833608682194446E-2</v>
      </c>
      <c r="G34" s="4">
        <v>5.9993859204320557E-2</v>
      </c>
      <c r="H34" s="4">
        <v>5.8939298838412243E-2</v>
      </c>
      <c r="I34" s="4">
        <v>-7.952583831721604E-3</v>
      </c>
      <c r="J34" s="4">
        <v>8.9427214214787085E-3</v>
      </c>
      <c r="K34" s="4">
        <v>0.27027474146268637</v>
      </c>
      <c r="L34" s="4">
        <v>5.5588361188657294E-2</v>
      </c>
      <c r="M34" s="4">
        <v>-6.9732977812413249E-3</v>
      </c>
      <c r="N34" s="4">
        <v>-4.456056618447919E-5</v>
      </c>
      <c r="O34" s="4">
        <v>-2.9529604586788511E-3</v>
      </c>
      <c r="P34" s="4">
        <v>2.0356424609677976E-2</v>
      </c>
      <c r="Q34" s="4">
        <v>0.38609646218390925</v>
      </c>
      <c r="R34" s="6">
        <v>0.65386628379031109</v>
      </c>
      <c r="S34" s="4">
        <v>0.44998098936189079</v>
      </c>
      <c r="T34" s="4">
        <v>2.3995850354038426E-2</v>
      </c>
      <c r="U34" s="4">
        <v>-0.15060340362679783</v>
      </c>
      <c r="V34" s="4">
        <v>-5.1265807381258292E-2</v>
      </c>
      <c r="W34" s="4">
        <v>2.8697747402041052E-2</v>
      </c>
      <c r="X34" s="4">
        <v>1.3137305602352635E-2</v>
      </c>
      <c r="Y34" s="4">
        <v>-0.14413236250181069</v>
      </c>
      <c r="Z34" s="4">
        <v>0.28464835464860383</v>
      </c>
      <c r="AA34" s="4">
        <v>2.0483092008656924E-2</v>
      </c>
      <c r="AB34" s="4">
        <v>3.6106472934730453E-2</v>
      </c>
      <c r="AC34" s="4">
        <v>0.25863994301449783</v>
      </c>
      <c r="AD34" s="5">
        <v>0.73481426867640542</v>
      </c>
      <c r="AE34" s="4">
        <v>0.15995395187108774</v>
      </c>
      <c r="AF34" s="2">
        <v>1</v>
      </c>
      <c r="AG34" s="9">
        <v>0.5405406989771453</v>
      </c>
      <c r="AH34" s="4">
        <v>7.3090019169924384E-3</v>
      </c>
      <c r="AI34" s="9">
        <v>0.57684042633897237</v>
      </c>
      <c r="AJ34" s="4">
        <v>0.18048405100276449</v>
      </c>
      <c r="AK34" s="5">
        <v>0.73572614018156812</v>
      </c>
      <c r="AL34" s="4">
        <v>-0.17154877287707782</v>
      </c>
      <c r="AM34" s="4">
        <v>7.9166783580332578E-2</v>
      </c>
      <c r="AN34" s="4">
        <v>1.3268970349349484E-3</v>
      </c>
      <c r="AO34" s="4">
        <v>4.0853137039309526E-2</v>
      </c>
      <c r="AP34" s="4">
        <v>2.0400439838586231E-2</v>
      </c>
    </row>
    <row r="35" spans="1:42" x14ac:dyDescent="0.15">
      <c r="A35" s="3" t="s">
        <v>46</v>
      </c>
      <c r="B35" s="3" t="s">
        <v>32</v>
      </c>
      <c r="C35" s="4">
        <v>-7.3147570355230451E-2</v>
      </c>
      <c r="D35" s="4">
        <v>4.395229705972995E-3</v>
      </c>
      <c r="E35" s="4">
        <v>1.8177007201750712E-2</v>
      </c>
      <c r="F35" s="4">
        <v>-5.3221175726125463E-3</v>
      </c>
      <c r="G35" s="4">
        <v>5.7622986398945024E-2</v>
      </c>
      <c r="H35" s="4">
        <v>-7.9922591603870177E-2</v>
      </c>
      <c r="I35" s="4">
        <v>-6.2929810053113253E-2</v>
      </c>
      <c r="J35" s="4">
        <v>-4.3961522901767927E-2</v>
      </c>
      <c r="K35" s="4">
        <v>0.24901196977167453</v>
      </c>
      <c r="L35" s="4">
        <v>2.4437986796117517E-2</v>
      </c>
      <c r="M35" s="4">
        <v>-5.0403165153372169E-2</v>
      </c>
      <c r="N35" s="4">
        <v>-1.5123006159579427E-2</v>
      </c>
      <c r="O35" s="4">
        <v>1.5254607597895741E-2</v>
      </c>
      <c r="P35" s="4">
        <v>2.1013907746305689E-2</v>
      </c>
      <c r="Q35" s="4">
        <v>0.47487658370537777</v>
      </c>
      <c r="R35" s="9">
        <v>0.53244240915352159</v>
      </c>
      <c r="S35" s="4">
        <v>0.46021922424947181</v>
      </c>
      <c r="T35" s="4">
        <v>0.13528277912611944</v>
      </c>
      <c r="U35" s="4">
        <v>-0.14770836855320102</v>
      </c>
      <c r="V35" s="4">
        <v>-3.9849965986142627E-2</v>
      </c>
      <c r="W35" s="4">
        <v>1.5812501883146576E-2</v>
      </c>
      <c r="X35" s="4">
        <v>7.6997468919411012E-3</v>
      </c>
      <c r="Y35" s="4">
        <v>-0.25321475278099215</v>
      </c>
      <c r="Z35" s="4">
        <v>0.28233540860562645</v>
      </c>
      <c r="AA35" s="4">
        <v>9.508903175875133E-2</v>
      </c>
      <c r="AB35" s="4">
        <v>0.15161400305172246</v>
      </c>
      <c r="AC35" s="4">
        <v>0.23464715220247481</v>
      </c>
      <c r="AD35" s="9">
        <v>0.58229963129446283</v>
      </c>
      <c r="AE35" s="4">
        <v>0.11035158568638596</v>
      </c>
      <c r="AF35" s="9">
        <v>0.5405406989771453</v>
      </c>
      <c r="AG35" s="2">
        <v>1</v>
      </c>
      <c r="AH35" s="4">
        <v>-1.6489403764383473E-2</v>
      </c>
      <c r="AI35" s="4">
        <v>0.41013443771663033</v>
      </c>
      <c r="AJ35" s="4">
        <v>0.32477108050408576</v>
      </c>
      <c r="AK35" s="9">
        <v>0.58331523038055999</v>
      </c>
      <c r="AL35" s="4">
        <v>-0.2083732690745165</v>
      </c>
      <c r="AM35" s="4">
        <v>9.1717045089364665E-2</v>
      </c>
      <c r="AN35" s="4">
        <v>-1.2031444949028516E-2</v>
      </c>
      <c r="AO35" s="4">
        <v>2.3092024121863848E-2</v>
      </c>
      <c r="AP35" s="4">
        <v>5.5831739670483549E-3</v>
      </c>
    </row>
    <row r="36" spans="1:42" x14ac:dyDescent="0.15">
      <c r="A36" s="3" t="s">
        <v>46</v>
      </c>
      <c r="B36" s="3" t="s">
        <v>33</v>
      </c>
      <c r="C36" s="4">
        <v>2.2987713674950758E-2</v>
      </c>
      <c r="D36" s="4">
        <v>2.4987501069220389E-2</v>
      </c>
      <c r="E36" s="4">
        <v>2.6292645058177098E-2</v>
      </c>
      <c r="F36" s="4">
        <v>2.30994263595393E-2</v>
      </c>
      <c r="G36" s="4">
        <v>-1.0145004628593187E-2</v>
      </c>
      <c r="H36" s="4">
        <v>2.0811074136617039E-2</v>
      </c>
      <c r="I36" s="4">
        <v>0.20073930154370365</v>
      </c>
      <c r="J36" s="4">
        <v>-1.2591754030976069E-2</v>
      </c>
      <c r="K36" s="4">
        <v>1.5283624903036759E-2</v>
      </c>
      <c r="L36" s="4">
        <v>1.9380267303952023E-2</v>
      </c>
      <c r="M36" s="4">
        <v>2.079254993195424E-2</v>
      </c>
      <c r="N36" s="4">
        <v>-3.2995138405376152E-3</v>
      </c>
      <c r="O36" s="4">
        <v>-1.0908051751402501E-2</v>
      </c>
      <c r="P36" s="4">
        <v>4.1611734316878059E-3</v>
      </c>
      <c r="Q36" s="4">
        <v>-8.6589299141166219E-3</v>
      </c>
      <c r="R36" s="4">
        <v>9.3763947082435711E-3</v>
      </c>
      <c r="S36" s="4">
        <v>1.3356123596790977E-2</v>
      </c>
      <c r="T36" s="4">
        <v>-1.8425099545482077E-2</v>
      </c>
      <c r="U36" s="4">
        <v>1.2295699219923477E-2</v>
      </c>
      <c r="V36" s="4">
        <v>-4.8249156592501938E-2</v>
      </c>
      <c r="W36" s="4">
        <v>9.8038846570701471E-3</v>
      </c>
      <c r="X36" s="4">
        <v>1.9939793933251532E-2</v>
      </c>
      <c r="Y36" s="4">
        <v>3.143361423588948E-2</v>
      </c>
      <c r="Z36" s="4">
        <v>7.5656930212725185E-3</v>
      </c>
      <c r="AA36" s="4">
        <v>-2.5192497240914102E-2</v>
      </c>
      <c r="AB36" s="4">
        <v>-2.7989734558158282E-2</v>
      </c>
      <c r="AC36" s="4">
        <v>1.4971654210294939E-2</v>
      </c>
      <c r="AD36" s="4">
        <v>-4.7103298415385934E-4</v>
      </c>
      <c r="AE36" s="4">
        <v>2.0122811259081989E-2</v>
      </c>
      <c r="AF36" s="4">
        <v>7.3090019169924384E-3</v>
      </c>
      <c r="AG36" s="4">
        <v>-1.6489403764383473E-2</v>
      </c>
      <c r="AH36" s="2">
        <v>1</v>
      </c>
      <c r="AI36" s="4">
        <v>8.9940547201779429E-3</v>
      </c>
      <c r="AJ36" s="4">
        <v>-2.9686052537975384E-2</v>
      </c>
      <c r="AK36" s="4">
        <v>-6.9198354594574572E-4</v>
      </c>
      <c r="AL36" s="4">
        <v>2.614359171771908E-3</v>
      </c>
      <c r="AM36" s="4">
        <v>-1.4224532437087446E-2</v>
      </c>
      <c r="AN36" s="4">
        <v>1.7644562774260467E-2</v>
      </c>
      <c r="AO36" s="4">
        <v>-7.7295404946132228E-3</v>
      </c>
      <c r="AP36" s="4">
        <v>2.2391319284465805E-2</v>
      </c>
    </row>
    <row r="37" spans="1:42" x14ac:dyDescent="0.15">
      <c r="A37" s="3" t="s">
        <v>46</v>
      </c>
      <c r="B37" s="3" t="s">
        <v>34</v>
      </c>
      <c r="C37" s="4">
        <v>0.20714548522514015</v>
      </c>
      <c r="D37" s="4">
        <v>1.8589804646371776E-3</v>
      </c>
      <c r="E37" s="4">
        <v>3.4882305734753691E-2</v>
      </c>
      <c r="F37" s="4">
        <v>9.7470691097692672E-3</v>
      </c>
      <c r="G37" s="4">
        <v>6.1321198682312852E-2</v>
      </c>
      <c r="H37" s="4">
        <v>8.0758979676221837E-2</v>
      </c>
      <c r="I37" s="4">
        <v>-1.0602080768164105E-2</v>
      </c>
      <c r="J37" s="4">
        <v>1.0853313829754024E-2</v>
      </c>
      <c r="K37" s="4">
        <v>0.18664473398069586</v>
      </c>
      <c r="L37" s="4">
        <v>6.2296007808776116E-2</v>
      </c>
      <c r="M37" s="4">
        <v>-1.1710411185316034E-3</v>
      </c>
      <c r="N37" s="4">
        <v>-6.1852533078200862E-3</v>
      </c>
      <c r="O37" s="4">
        <v>-6.9668329392289896E-4</v>
      </c>
      <c r="P37" s="4">
        <v>2.1278573891986063E-2</v>
      </c>
      <c r="Q37" s="4">
        <v>0.44393733567398208</v>
      </c>
      <c r="R37" s="9">
        <v>0.51032057345447945</v>
      </c>
      <c r="S37" s="4">
        <v>0.49459960722351642</v>
      </c>
      <c r="T37" s="4">
        <v>6.026658982609405E-2</v>
      </c>
      <c r="U37" s="4">
        <v>-0.23878372823397156</v>
      </c>
      <c r="V37" s="4">
        <v>-6.2083756043341862E-2</v>
      </c>
      <c r="W37" s="4">
        <v>2.9733948775584707E-2</v>
      </c>
      <c r="X37" s="4">
        <v>1.8632333427630304E-2</v>
      </c>
      <c r="Y37" s="4">
        <v>-0.17590072359360712</v>
      </c>
      <c r="Z37" s="9">
        <v>0.57498043838866009</v>
      </c>
      <c r="AA37" s="4">
        <v>4.3203675531317563E-2</v>
      </c>
      <c r="AB37" s="4">
        <v>6.704555642002899E-2</v>
      </c>
      <c r="AC37" s="4">
        <v>0.17157115603935125</v>
      </c>
      <c r="AD37" s="5">
        <v>0.72180795021482813</v>
      </c>
      <c r="AE37" s="4">
        <v>0.31878893266486652</v>
      </c>
      <c r="AF37" s="9">
        <v>0.57684042633897237</v>
      </c>
      <c r="AG37" s="4">
        <v>0.41013443771663033</v>
      </c>
      <c r="AH37" s="4">
        <v>8.9940547201779429E-3</v>
      </c>
      <c r="AI37" s="2">
        <v>1</v>
      </c>
      <c r="AJ37" s="4">
        <v>0.2114415759802179</v>
      </c>
      <c r="AK37" s="5">
        <v>0.72890072198407652</v>
      </c>
      <c r="AL37" s="4">
        <v>-0.22812651022126842</v>
      </c>
      <c r="AM37" s="4">
        <v>8.2644371299494618E-2</v>
      </c>
      <c r="AN37" s="4">
        <v>-2.4950687699998456E-3</v>
      </c>
      <c r="AO37" s="4">
        <v>3.7368962047018395E-2</v>
      </c>
      <c r="AP37" s="4">
        <v>2.7565156392687244E-2</v>
      </c>
    </row>
    <row r="38" spans="1:42" x14ac:dyDescent="0.15">
      <c r="A38" s="3" t="s">
        <v>46</v>
      </c>
      <c r="B38" s="3" t="s">
        <v>35</v>
      </c>
      <c r="C38" s="4">
        <v>-1.2101057411402126E-2</v>
      </c>
      <c r="D38" s="4">
        <v>-0.40881915812474801</v>
      </c>
      <c r="E38" s="4">
        <v>3.0126820479452119E-2</v>
      </c>
      <c r="F38" s="4">
        <v>-0.39254913734786384</v>
      </c>
      <c r="G38" s="4">
        <v>-2.4077880347845474E-2</v>
      </c>
      <c r="H38" s="4">
        <v>-2.4493542565449652E-2</v>
      </c>
      <c r="I38" s="4">
        <v>-0.11105263386730771</v>
      </c>
      <c r="J38" s="4">
        <v>-0.12301579132044513</v>
      </c>
      <c r="K38" s="4">
        <v>-1.5358639982870599E-2</v>
      </c>
      <c r="L38" s="4">
        <v>2.3207863102982184E-2</v>
      </c>
      <c r="M38" s="4">
        <v>-8.4340288183172102E-2</v>
      </c>
      <c r="N38" s="4">
        <v>-4.7202942199701121E-2</v>
      </c>
      <c r="O38" s="4">
        <v>-4.0222024760661586E-3</v>
      </c>
      <c r="P38" s="4">
        <v>8.2223651705839208E-3</v>
      </c>
      <c r="Q38" s="4">
        <v>0.496962351738024</v>
      </c>
      <c r="R38" s="4">
        <v>0.22538615166702536</v>
      </c>
      <c r="S38" s="4">
        <v>0.28131522882594784</v>
      </c>
      <c r="T38" s="4">
        <v>0.43346156332966035</v>
      </c>
      <c r="U38" s="4">
        <v>-0.11180787817254101</v>
      </c>
      <c r="V38" s="4">
        <v>-3.7828154772263076E-2</v>
      </c>
      <c r="W38" s="4">
        <v>2.2810169594622565E-2</v>
      </c>
      <c r="X38" s="4">
        <v>1.3216352712960084E-2</v>
      </c>
      <c r="Y38" s="4">
        <v>-0.45129766039251035</v>
      </c>
      <c r="Z38" s="4">
        <v>0.24259965847543186</v>
      </c>
      <c r="AA38" s="4">
        <v>0.28319950235270813</v>
      </c>
      <c r="AB38" s="9">
        <v>0.54368260024346649</v>
      </c>
      <c r="AC38" s="4">
        <v>-3.610455635499582E-2</v>
      </c>
      <c r="AD38" s="4">
        <v>0.25998945916310279</v>
      </c>
      <c r="AE38" s="4">
        <v>3.1022750796514696E-2</v>
      </c>
      <c r="AF38" s="4">
        <v>0.18048405100276449</v>
      </c>
      <c r="AG38" s="4">
        <v>0.32477108050408576</v>
      </c>
      <c r="AH38" s="4">
        <v>-2.9686052537975384E-2</v>
      </c>
      <c r="AI38" s="4">
        <v>0.2114415759802179</v>
      </c>
      <c r="AJ38" s="2">
        <v>1</v>
      </c>
      <c r="AK38" s="4">
        <v>0.25175230123557313</v>
      </c>
      <c r="AL38" s="4">
        <v>-0.2715182896449399</v>
      </c>
      <c r="AM38" s="4">
        <v>0.27614654429452512</v>
      </c>
      <c r="AN38" s="4">
        <v>-1.8248257735264964E-2</v>
      </c>
      <c r="AO38" s="4">
        <v>-5.0764334424550667E-2</v>
      </c>
      <c r="AP38" s="4">
        <v>-7.8185865879424766E-3</v>
      </c>
    </row>
    <row r="39" spans="1:42" x14ac:dyDescent="0.15">
      <c r="A39" s="3" t="s">
        <v>46</v>
      </c>
      <c r="B39" s="3" t="s">
        <v>36</v>
      </c>
      <c r="C39" s="4">
        <v>0.23997471006387364</v>
      </c>
      <c r="D39" s="4">
        <v>7.2817721804387652E-3</v>
      </c>
      <c r="E39" s="4">
        <v>3.15105959555936E-2</v>
      </c>
      <c r="F39" s="4">
        <v>-2.474078525818618E-3</v>
      </c>
      <c r="G39" s="4">
        <v>5.5562377099864682E-2</v>
      </c>
      <c r="H39" s="4">
        <v>6.1697264242989373E-2</v>
      </c>
      <c r="I39" s="4">
        <v>-1.8867256704764596E-2</v>
      </c>
      <c r="J39" s="4">
        <v>1.7463196127861926E-2</v>
      </c>
      <c r="K39" s="4">
        <v>0.25873879412488016</v>
      </c>
      <c r="L39" s="4">
        <v>5.5600555974825557E-2</v>
      </c>
      <c r="M39" s="4">
        <v>-3.4149496271851515E-2</v>
      </c>
      <c r="N39" s="4">
        <v>-2.9569843594859585E-3</v>
      </c>
      <c r="O39" s="4">
        <v>-1.8638642762000626E-3</v>
      </c>
      <c r="P39" s="4">
        <v>1.6181668237662317E-2</v>
      </c>
      <c r="Q39" s="4">
        <v>0.40069406386086764</v>
      </c>
      <c r="R39" s="9">
        <v>0.52462716384459929</v>
      </c>
      <c r="S39" s="4">
        <v>0.40770592325583083</v>
      </c>
      <c r="T39" s="4">
        <v>7.3385643290056424E-2</v>
      </c>
      <c r="U39" s="4">
        <v>-0.13222996343734827</v>
      </c>
      <c r="V39" s="4">
        <v>-5.5658772825808764E-2</v>
      </c>
      <c r="W39" s="4">
        <v>2.7176670842782014E-2</v>
      </c>
      <c r="X39" s="4">
        <v>9.417010117628348E-3</v>
      </c>
      <c r="Y39" s="4">
        <v>-0.19286102224876511</v>
      </c>
      <c r="Z39" s="4">
        <v>0.24870842827450995</v>
      </c>
      <c r="AA39" s="4">
        <v>3.9744868684207894E-2</v>
      </c>
      <c r="AB39" s="4">
        <v>8.3249409967811661E-2</v>
      </c>
      <c r="AC39" s="4">
        <v>0.25097710416337715</v>
      </c>
      <c r="AD39" s="8">
        <v>0.98647930525649463</v>
      </c>
      <c r="AE39" s="4">
        <v>0.11214843982829503</v>
      </c>
      <c r="AF39" s="5">
        <v>0.73572614018156812</v>
      </c>
      <c r="AG39" s="9">
        <v>0.58331523038055999</v>
      </c>
      <c r="AH39" s="4">
        <v>-6.9198354594574572E-4</v>
      </c>
      <c r="AI39" s="5">
        <v>0.72890072198407652</v>
      </c>
      <c r="AJ39" s="4">
        <v>0.25175230123557313</v>
      </c>
      <c r="AK39" s="2">
        <v>1</v>
      </c>
      <c r="AL39" s="4">
        <v>-0.18287261276101313</v>
      </c>
      <c r="AM39" s="4">
        <v>7.1762159749437088E-2</v>
      </c>
      <c r="AN39" s="4">
        <v>-6.934037125375124E-3</v>
      </c>
      <c r="AO39" s="4">
        <v>3.4715384941082478E-2</v>
      </c>
      <c r="AP39" s="4">
        <v>1.4155429587045168E-2</v>
      </c>
    </row>
    <row r="40" spans="1:42" x14ac:dyDescent="0.15">
      <c r="A40" s="3" t="s">
        <v>46</v>
      </c>
      <c r="B40" s="3" t="s">
        <v>37</v>
      </c>
      <c r="C40" s="4">
        <v>1.0738239021976317E-2</v>
      </c>
      <c r="D40" s="4">
        <v>0.3789985770534724</v>
      </c>
      <c r="E40" s="4">
        <v>1.6915280375524602E-2</v>
      </c>
      <c r="F40" s="4">
        <v>0.4084969384534945</v>
      </c>
      <c r="G40" s="4">
        <v>2.9201705422734921E-2</v>
      </c>
      <c r="H40" s="4">
        <v>-3.3255448736045222E-3</v>
      </c>
      <c r="I40" s="4">
        <v>4.7162963077268076E-2</v>
      </c>
      <c r="J40" s="4">
        <v>9.3244550078566482E-2</v>
      </c>
      <c r="K40" s="4">
        <v>6.2966808587032908E-2</v>
      </c>
      <c r="L40" s="4">
        <v>-8.5690909421429571E-3</v>
      </c>
      <c r="M40" s="4">
        <v>8.8056304204391679E-3</v>
      </c>
      <c r="N40" s="4">
        <v>5.0050528841761519E-2</v>
      </c>
      <c r="O40" s="4">
        <v>-1.5416067978483512E-2</v>
      </c>
      <c r="P40" s="4">
        <v>-6.9236944579728569E-3</v>
      </c>
      <c r="Q40" s="4">
        <v>-0.47145985198183671</v>
      </c>
      <c r="R40" s="4">
        <v>-0.21680022091069995</v>
      </c>
      <c r="S40" s="4">
        <v>-0.2829120989844473</v>
      </c>
      <c r="T40" s="4">
        <v>-0.25183831276969859</v>
      </c>
      <c r="U40" s="4">
        <v>0.1188462134521287</v>
      </c>
      <c r="V40" s="4">
        <v>4.9005544689003436E-2</v>
      </c>
      <c r="W40" s="4">
        <v>8.5781674218700053E-3</v>
      </c>
      <c r="X40" s="4">
        <v>-1.5579018156301036E-3</v>
      </c>
      <c r="Y40" s="4">
        <v>0.31988093096132758</v>
      </c>
      <c r="Z40" s="4">
        <v>-0.280266171475962</v>
      </c>
      <c r="AA40" s="4">
        <v>-7.1047557689857987E-2</v>
      </c>
      <c r="AB40" s="4">
        <v>-0.18967797421473054</v>
      </c>
      <c r="AC40" s="4">
        <v>8.4107124664091176E-2</v>
      </c>
      <c r="AD40" s="4">
        <v>-0.18757753910947739</v>
      </c>
      <c r="AE40" s="4">
        <v>-6.5565751683329385E-2</v>
      </c>
      <c r="AF40" s="4">
        <v>-0.17154877287707782</v>
      </c>
      <c r="AG40" s="4">
        <v>-0.2083732690745165</v>
      </c>
      <c r="AH40" s="4">
        <v>2.614359171771908E-3</v>
      </c>
      <c r="AI40" s="4">
        <v>-0.22812651022126842</v>
      </c>
      <c r="AJ40" s="4">
        <v>-0.2715182896449399</v>
      </c>
      <c r="AK40" s="4">
        <v>-0.18287261276101313</v>
      </c>
      <c r="AL40" s="2">
        <v>1</v>
      </c>
      <c r="AM40" s="4">
        <v>-4.1477161412565529E-2</v>
      </c>
      <c r="AN40" s="4">
        <v>4.0266698544321189E-2</v>
      </c>
      <c r="AO40" s="4">
        <v>4.5399772271094901E-2</v>
      </c>
      <c r="AP40" s="4">
        <v>-4.0595122268409105E-2</v>
      </c>
    </row>
    <row r="41" spans="1:42" x14ac:dyDescent="0.15">
      <c r="A41" s="3" t="s">
        <v>46</v>
      </c>
      <c r="B41" s="3" t="s">
        <v>38</v>
      </c>
      <c r="C41" s="4">
        <v>1.2101914008611298E-2</v>
      </c>
      <c r="D41" s="4">
        <v>-2.9225662520848985E-2</v>
      </c>
      <c r="E41" s="4">
        <v>0.11832187412167459</v>
      </c>
      <c r="F41" s="4">
        <v>-1.4611534434551087E-2</v>
      </c>
      <c r="G41" s="4">
        <v>-3.7738740020512463E-3</v>
      </c>
      <c r="H41" s="4">
        <v>-3.5638459602089973E-3</v>
      </c>
      <c r="I41" s="4">
        <v>-0.12821070244816024</v>
      </c>
      <c r="J41" s="4">
        <v>-5.5057743199162599E-3</v>
      </c>
      <c r="K41" s="4">
        <v>5.0820691923875019E-2</v>
      </c>
      <c r="L41" s="4">
        <v>6.2669141815295662E-2</v>
      </c>
      <c r="M41" s="4">
        <v>8.6025698921864915E-2</v>
      </c>
      <c r="N41" s="4">
        <v>-1.4581011926710919E-2</v>
      </c>
      <c r="O41" s="4">
        <v>-1.200532350431735E-2</v>
      </c>
      <c r="P41" s="4">
        <v>2.3771937827601394E-2</v>
      </c>
      <c r="Q41" s="4">
        <v>0.11386326298548115</v>
      </c>
      <c r="R41" s="4">
        <v>9.3153151067344869E-2</v>
      </c>
      <c r="S41" s="4">
        <v>0.10910434180956843</v>
      </c>
      <c r="T41" s="4">
        <v>5.676354567162268E-2</v>
      </c>
      <c r="U41" s="4">
        <v>-3.7745858732000953E-2</v>
      </c>
      <c r="V41" s="4">
        <v>-4.7969162215323352E-2</v>
      </c>
      <c r="W41" s="4">
        <v>7.5413723102708094E-2</v>
      </c>
      <c r="X41" s="4">
        <v>-7.0422476935861469E-2</v>
      </c>
      <c r="Y41" s="4">
        <v>-0.17262846082788666</v>
      </c>
      <c r="Z41" s="4">
        <v>9.8281416631262247E-2</v>
      </c>
      <c r="AA41" s="4">
        <v>5.4919835094438818E-2</v>
      </c>
      <c r="AB41" s="4">
        <v>0.23577091752004195</v>
      </c>
      <c r="AC41" s="4">
        <v>4.5458928413021439E-2</v>
      </c>
      <c r="AD41" s="4">
        <v>7.1635092441683215E-2</v>
      </c>
      <c r="AE41" s="4">
        <v>7.1273385624987015E-2</v>
      </c>
      <c r="AF41" s="4">
        <v>7.9166783580332578E-2</v>
      </c>
      <c r="AG41" s="4">
        <v>9.1717045089364665E-2</v>
      </c>
      <c r="AH41" s="4">
        <v>-1.4224532437087446E-2</v>
      </c>
      <c r="AI41" s="4">
        <v>8.2644371299494618E-2</v>
      </c>
      <c r="AJ41" s="4">
        <v>0.27614654429452512</v>
      </c>
      <c r="AK41" s="4">
        <v>7.1762159749437088E-2</v>
      </c>
      <c r="AL41" s="4">
        <v>-4.1477161412565529E-2</v>
      </c>
      <c r="AM41" s="2">
        <v>1</v>
      </c>
      <c r="AN41" s="4">
        <v>0.1048069431234739</v>
      </c>
      <c r="AO41" s="4">
        <v>-5.3574250656548299E-2</v>
      </c>
      <c r="AP41" s="4">
        <v>-2.715579595693737E-2</v>
      </c>
    </row>
    <row r="42" spans="1:42" x14ac:dyDescent="0.15">
      <c r="A42" s="3" t="s">
        <v>46</v>
      </c>
      <c r="B42" s="3" t="s">
        <v>39</v>
      </c>
      <c r="C42" s="4">
        <v>1.3922761720464081E-2</v>
      </c>
      <c r="D42" s="4">
        <v>5.5375577410305146E-2</v>
      </c>
      <c r="E42" s="4">
        <v>8.3166152046443356E-2</v>
      </c>
      <c r="F42" s="4">
        <v>5.9287250679080326E-2</v>
      </c>
      <c r="G42" s="4">
        <v>2.4025934379773524E-2</v>
      </c>
      <c r="H42" s="4">
        <v>9.8780038450213808E-3</v>
      </c>
      <c r="I42" s="4">
        <v>2.6447009956527042E-2</v>
      </c>
      <c r="J42" s="4">
        <v>7.8624212601042173E-3</v>
      </c>
      <c r="K42" s="4">
        <v>3.314985922683545E-2</v>
      </c>
      <c r="L42" s="4">
        <v>-1.3663533653486255E-4</v>
      </c>
      <c r="M42" s="4">
        <v>3.0985864910434591E-2</v>
      </c>
      <c r="N42" s="4">
        <v>8.732223530872836E-3</v>
      </c>
      <c r="O42" s="4">
        <v>4.7061340697218991E-2</v>
      </c>
      <c r="P42" s="4">
        <v>1.0463817117968828E-3</v>
      </c>
      <c r="Q42" s="4">
        <v>-3.5471825561232032E-2</v>
      </c>
      <c r="R42" s="4">
        <v>1.2002885872750362E-3</v>
      </c>
      <c r="S42" s="4">
        <v>-9.5695381412509353E-3</v>
      </c>
      <c r="T42" s="4">
        <v>-1.9920135515172948E-2</v>
      </c>
      <c r="U42" s="4">
        <v>8.4834225767745561E-3</v>
      </c>
      <c r="V42" s="4">
        <v>3.7630857848523448E-3</v>
      </c>
      <c r="W42" s="4">
        <v>7.783873436618019E-2</v>
      </c>
      <c r="X42" s="4">
        <v>-1.4893227282778186E-3</v>
      </c>
      <c r="Y42" s="4">
        <v>3.0456933345080171E-2</v>
      </c>
      <c r="Z42" s="4">
        <v>-4.013781903779305E-3</v>
      </c>
      <c r="AA42" s="4">
        <v>-6.2395346601311456E-3</v>
      </c>
      <c r="AB42" s="4">
        <v>-3.6115961417695035E-4</v>
      </c>
      <c r="AC42" s="4">
        <v>3.3399158900065527E-2</v>
      </c>
      <c r="AD42" s="4">
        <v>-7.1368742221776336E-3</v>
      </c>
      <c r="AE42" s="4">
        <v>1.8523349380418597E-2</v>
      </c>
      <c r="AF42" s="4">
        <v>1.3268970349349484E-3</v>
      </c>
      <c r="AG42" s="4">
        <v>-1.2031444949028516E-2</v>
      </c>
      <c r="AH42" s="4">
        <v>1.7644562774260467E-2</v>
      </c>
      <c r="AI42" s="4">
        <v>-2.4950687699998456E-3</v>
      </c>
      <c r="AJ42" s="4">
        <v>-1.8248257735264964E-2</v>
      </c>
      <c r="AK42" s="4">
        <v>-6.934037125375124E-3</v>
      </c>
      <c r="AL42" s="4">
        <v>4.0266698544321189E-2</v>
      </c>
      <c r="AM42" s="4">
        <v>0.1048069431234739</v>
      </c>
      <c r="AN42" s="2">
        <v>1</v>
      </c>
      <c r="AO42" s="4">
        <v>-1.4410759249164224E-2</v>
      </c>
      <c r="AP42" s="4">
        <v>2.093746098862715E-2</v>
      </c>
    </row>
    <row r="43" spans="1:42" x14ac:dyDescent="0.15">
      <c r="A43" s="3" t="s">
        <v>46</v>
      </c>
      <c r="B43" s="3" t="s">
        <v>40</v>
      </c>
      <c r="C43" s="4">
        <v>3.0340393302621772E-2</v>
      </c>
      <c r="D43" s="4">
        <v>-0.11106063940510437</v>
      </c>
      <c r="E43" s="4">
        <v>7.2352831001073481E-2</v>
      </c>
      <c r="F43" s="4">
        <v>-9.9102042889677652E-2</v>
      </c>
      <c r="G43" s="4">
        <v>4.455134663904145E-2</v>
      </c>
      <c r="H43" s="4">
        <v>1.462309674026508E-2</v>
      </c>
      <c r="I43" s="4">
        <v>1.9416715109311204E-2</v>
      </c>
      <c r="J43" s="4">
        <v>-1.8967848954137081E-2</v>
      </c>
      <c r="K43" s="4">
        <v>4.5034698313875417E-2</v>
      </c>
      <c r="L43" s="4">
        <v>2.4931800059628136E-2</v>
      </c>
      <c r="M43" s="4">
        <v>0.16939315634378535</v>
      </c>
      <c r="N43" s="4">
        <v>2.03995642941662E-2</v>
      </c>
      <c r="O43" s="4">
        <v>-6.6709946282649007E-2</v>
      </c>
      <c r="P43" s="4">
        <v>-1.3800126218212322E-3</v>
      </c>
      <c r="Q43" s="4">
        <v>-1.9751044100941934E-2</v>
      </c>
      <c r="R43" s="4">
        <v>3.3366345355754709E-2</v>
      </c>
      <c r="S43" s="4">
        <v>1.3679890229519927E-2</v>
      </c>
      <c r="T43" s="4">
        <v>-5.8127911823140588E-2</v>
      </c>
      <c r="U43" s="4">
        <v>3.4221312712849564E-3</v>
      </c>
      <c r="V43" s="4">
        <v>1.8407185740741461E-2</v>
      </c>
      <c r="W43" s="4">
        <v>5.2457079502135469E-2</v>
      </c>
      <c r="X43" s="4">
        <v>-2.4496869940343013E-2</v>
      </c>
      <c r="Y43" s="4">
        <v>4.9898250697950078E-2</v>
      </c>
      <c r="Z43" s="4">
        <v>2.4494286939091062E-2</v>
      </c>
      <c r="AA43" s="4">
        <v>-4.7005108921334381E-2</v>
      </c>
      <c r="AB43" s="4">
        <v>-6.6329486969255488E-2</v>
      </c>
      <c r="AC43" s="4">
        <v>4.4194464091151367E-2</v>
      </c>
      <c r="AD43" s="4">
        <v>3.2011466748854848E-2</v>
      </c>
      <c r="AE43" s="4">
        <v>3.1208011751600661E-2</v>
      </c>
      <c r="AF43" s="4">
        <v>4.0853137039309526E-2</v>
      </c>
      <c r="AG43" s="4">
        <v>2.3092024121863848E-2</v>
      </c>
      <c r="AH43" s="4">
        <v>-7.7295404946132228E-3</v>
      </c>
      <c r="AI43" s="4">
        <v>3.7368962047018395E-2</v>
      </c>
      <c r="AJ43" s="4">
        <v>-5.0764334424550667E-2</v>
      </c>
      <c r="AK43" s="4">
        <v>3.4715384941082478E-2</v>
      </c>
      <c r="AL43" s="4">
        <v>4.5399772271094901E-2</v>
      </c>
      <c r="AM43" s="4">
        <v>-5.3574250656548299E-2</v>
      </c>
      <c r="AN43" s="4">
        <v>-1.4410759249164224E-2</v>
      </c>
      <c r="AO43" s="2">
        <v>1</v>
      </c>
      <c r="AP43" s="4">
        <v>-0.15066045410444298</v>
      </c>
    </row>
    <row r="44" spans="1:42" x14ac:dyDescent="0.15">
      <c r="A44" s="3" t="s">
        <v>46</v>
      </c>
      <c r="B44" s="3" t="s">
        <v>41</v>
      </c>
      <c r="C44" s="4">
        <v>1.6403022666218826E-2</v>
      </c>
      <c r="D44" s="4">
        <v>2.6301649017269665E-2</v>
      </c>
      <c r="E44" s="4">
        <v>1.6751523563986341E-2</v>
      </c>
      <c r="F44" s="4">
        <v>2.8617055440191823E-2</v>
      </c>
      <c r="G44" s="4">
        <v>3.1561261588984348E-2</v>
      </c>
      <c r="H44" s="4">
        <v>1.4515036560821398E-2</v>
      </c>
      <c r="I44" s="4">
        <v>4.4927268289590663E-2</v>
      </c>
      <c r="J44" s="4">
        <v>-1.6051798817347775E-2</v>
      </c>
      <c r="K44" s="4">
        <v>2.2075581498346656E-2</v>
      </c>
      <c r="L44" s="4">
        <v>1.3952779709023566E-2</v>
      </c>
      <c r="M44" s="4">
        <v>0.17072849948111327</v>
      </c>
      <c r="N44" s="4">
        <v>3.6823708178116846E-3</v>
      </c>
      <c r="O44" s="4">
        <v>-9.257108917796554E-3</v>
      </c>
      <c r="P44" s="4">
        <v>8.7325001544937293E-3</v>
      </c>
      <c r="Q44" s="4">
        <v>1.3476469516629957E-2</v>
      </c>
      <c r="R44" s="4">
        <v>2.4652963720616022E-2</v>
      </c>
      <c r="S44" s="4">
        <v>2.6040641982898273E-2</v>
      </c>
      <c r="T44" s="4">
        <v>6.2963834280254528E-3</v>
      </c>
      <c r="U44" s="4">
        <v>1.2188516066012661E-3</v>
      </c>
      <c r="V44" s="4">
        <v>-1.1031574598206851E-2</v>
      </c>
      <c r="W44" s="4">
        <v>1.0178422562385584E-2</v>
      </c>
      <c r="X44" s="4">
        <v>1.742743782786316E-2</v>
      </c>
      <c r="Y44" s="4">
        <v>3.6042085380949163E-2</v>
      </c>
      <c r="Z44" s="4">
        <v>3.1662568414775813E-2</v>
      </c>
      <c r="AA44" s="4">
        <v>-1.4667071923529673E-2</v>
      </c>
      <c r="AB44" s="4">
        <v>-1.1918919302294714E-2</v>
      </c>
      <c r="AC44" s="4">
        <v>2.0719869156929482E-2</v>
      </c>
      <c r="AD44" s="4">
        <v>1.4870281143830853E-2</v>
      </c>
      <c r="AE44" s="4">
        <v>3.3464731401716699E-2</v>
      </c>
      <c r="AF44" s="4">
        <v>2.0400439838586231E-2</v>
      </c>
      <c r="AG44" s="4">
        <v>5.5831739670483549E-3</v>
      </c>
      <c r="AH44" s="4">
        <v>2.2391319284465805E-2</v>
      </c>
      <c r="AI44" s="4">
        <v>2.7565156392687244E-2</v>
      </c>
      <c r="AJ44" s="4">
        <v>-7.8185865879424766E-3</v>
      </c>
      <c r="AK44" s="4">
        <v>1.4155429587045168E-2</v>
      </c>
      <c r="AL44" s="4">
        <v>-4.0595122268409105E-2</v>
      </c>
      <c r="AM44" s="4">
        <v>-2.715579595693737E-2</v>
      </c>
      <c r="AN44" s="4">
        <v>2.093746098862715E-2</v>
      </c>
      <c r="AO44" s="4">
        <v>-0.15066045410444298</v>
      </c>
      <c r="AP44" s="2">
        <v>1</v>
      </c>
    </row>
    <row r="45" spans="1:42" x14ac:dyDescent="0.1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</row>
    <row r="46" spans="1:42" x14ac:dyDescent="0.1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</row>
    <row r="47" spans="1:42" x14ac:dyDescent="0.1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</row>
    <row r="48" spans="1:42" x14ac:dyDescent="0.1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</row>
    <row r="49" spans="1:42" x14ac:dyDescent="0.1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30"/>
  <sheetViews>
    <sheetView topLeftCell="A6" workbookViewId="0">
      <selection activeCell="B30" sqref="B30"/>
    </sheetView>
  </sheetViews>
  <sheetFormatPr defaultRowHeight="13.5" x14ac:dyDescent="0.15"/>
  <sheetData>
    <row r="1" spans="1:42" x14ac:dyDescent="0.15">
      <c r="C1" t="str">
        <f>var_corr!C1</f>
        <v>MOST_CONTACT_3M_woe</v>
      </c>
      <c r="D1" t="str">
        <f>var_corr!D1</f>
        <v>INTIME_PAY_woe</v>
      </c>
      <c r="E1" t="str">
        <f>var_corr!E1</f>
        <v>city_woe</v>
      </c>
      <c r="F1" t="str">
        <f>var_corr!F1</f>
        <v>ONTIME_PAY_woe</v>
      </c>
      <c r="G1" t="str">
        <f>var_corr!G1</f>
        <v>person_sex_woe</v>
      </c>
      <c r="H1" t="str">
        <f>var_corr!H1</f>
        <v>RECENT_CONTACT_DAY_woe</v>
      </c>
      <c r="I1" t="str">
        <f>var_corr!I1</f>
        <v>education_woe</v>
      </c>
      <c r="J1" t="str">
        <f>var_corr!J1</f>
        <v>OTHER_PERSON_TYPE_woe</v>
      </c>
      <c r="K1" t="str">
        <f>var_corr!K1</f>
        <v>BPTP_RATIO_woe</v>
      </c>
      <c r="L1" t="str">
        <f>var_corr!L1</f>
        <v>FAMILY_STATE_woe</v>
      </c>
      <c r="M1" t="str">
        <f>var_corr!M1</f>
        <v>IS_SUIXINHUAN_woe</v>
      </c>
      <c r="N1" t="str">
        <f>var_corr!N1</f>
        <v>CERTF_INTERVAL_YEARS_woe</v>
      </c>
      <c r="O1" t="str">
        <f>var_corr!O1</f>
        <v>F_SAME_REG_woe</v>
      </c>
      <c r="P1" t="str">
        <f>var_corr!P1</f>
        <v>INTER3_COUNT_woe</v>
      </c>
      <c r="Q1" t="str">
        <f>var_corr!Q1</f>
        <v>HIS_DUESEQ_woe</v>
      </c>
      <c r="R1" t="str">
        <f>var_corr!R1</f>
        <v>CON5_DUE_TIMES_woe</v>
      </c>
      <c r="S1" t="str">
        <f>var_corr!S1</f>
        <v>MAX_CONDUE1_woe</v>
      </c>
      <c r="T1" t="str">
        <f>var_corr!T1</f>
        <v>APR_COUNT_woe</v>
      </c>
      <c r="U1" t="str">
        <f>var_corr!U1</f>
        <v>DUE_CONTACT_RATIO_woe</v>
      </c>
      <c r="V1" t="str">
        <f>var_corr!V1</f>
        <v>TOTAL_WK_EXP_woe</v>
      </c>
      <c r="W1" t="str">
        <f>var_corr!W1</f>
        <v>CERT_4_INITAL_woe</v>
      </c>
      <c r="X1" t="str">
        <f>var_corr!X1</f>
        <v>EXTRA_INIT_RATE_woe</v>
      </c>
      <c r="Y1" t="str">
        <f>var_corr!Y1</f>
        <v>ACTUALPAYPRINCIPLE_woe</v>
      </c>
      <c r="Z1" t="str">
        <f>var_corr!Z1</f>
        <v>CSFQ_woe</v>
      </c>
      <c r="AA1" t="str">
        <f>var_corr!AA1</f>
        <v>APP_COUNT_woe</v>
      </c>
      <c r="AB1" t="str">
        <f>var_corr!AB1</f>
        <v>APR_CREDIT_AMOUNT_woe</v>
      </c>
      <c r="AC1" t="str">
        <f>var_corr!AC1</f>
        <v>KPTP_RATIO_woe</v>
      </c>
      <c r="AD1" t="str">
        <f>var_corr!AD1</f>
        <v>PAYFINE_woe</v>
      </c>
      <c r="AE1" t="str">
        <f>var_corr!AE1</f>
        <v>CON1_DUE_TIMES_woe</v>
      </c>
      <c r="AF1" t="str">
        <f>var_corr!AF1</f>
        <v>CON10_DUE_TIMES_woe</v>
      </c>
      <c r="AG1" t="str">
        <f>var_corr!AG1</f>
        <v>HIS_PTPDAYS_woe</v>
      </c>
      <c r="AH1" t="str">
        <f>var_corr!AH1</f>
        <v>is_ssi_woe</v>
      </c>
      <c r="AI1" t="str">
        <f>var_corr!AI1</f>
        <v>MAX_ROLL_SEQ_woe</v>
      </c>
      <c r="AJ1" t="str">
        <f>var_corr!AJ1</f>
        <v>ACTUALPAYINTEAMT_woe</v>
      </c>
      <c r="AK1" t="str">
        <f>var_corr!AK1</f>
        <v>ACTUALPAYFINE_woe</v>
      </c>
      <c r="AL1" t="str">
        <f>var_corr!AL1</f>
        <v>DUE_PERIODS_woe</v>
      </c>
      <c r="AM1" t="str">
        <f>var_corr!AM1</f>
        <v>PRICE_woe</v>
      </c>
      <c r="AN1" t="str">
        <f>var_corr!AN1</f>
        <v>pos_type_woe</v>
      </c>
      <c r="AO1" t="str">
        <f>var_corr!AO1</f>
        <v>INSURE_STATUS_woe</v>
      </c>
      <c r="AP1" t="str">
        <f>var_corr!AP1</f>
        <v>INSURE_TYPE_woe</v>
      </c>
    </row>
    <row r="2" spans="1:42" x14ac:dyDescent="0.15">
      <c r="A2" t="str">
        <f>var_corr!A5</f>
        <v>CORR</v>
      </c>
      <c r="B2" t="str">
        <f>var_corr!B5</f>
        <v>MOST_CONTACT_3M_woe</v>
      </c>
      <c r="C2">
        <f>INT(var_corr!C5*10)</f>
        <v>10</v>
      </c>
      <c r="D2">
        <f>INT(var_corr!D5*10)</f>
        <v>0</v>
      </c>
      <c r="E2">
        <f>INT(var_corr!E5*10)</f>
        <v>0</v>
      </c>
      <c r="F2">
        <f>INT(var_corr!F5*10)</f>
        <v>0</v>
      </c>
      <c r="G2">
        <f>INT(var_corr!G5*10)</f>
        <v>0</v>
      </c>
      <c r="H2">
        <f>INT(var_corr!H5*10)</f>
        <v>2</v>
      </c>
      <c r="I2">
        <f>INT(var_corr!I5*10)</f>
        <v>0</v>
      </c>
      <c r="J2">
        <f>INT(var_corr!J5*10)</f>
        <v>0</v>
      </c>
      <c r="K2">
        <f>INT(var_corr!K5*10)</f>
        <v>2</v>
      </c>
      <c r="L2">
        <f>INT(var_corr!L5*10)</f>
        <v>0</v>
      </c>
      <c r="M2">
        <f>INT(var_corr!M5*10)</f>
        <v>0</v>
      </c>
      <c r="N2">
        <f>INT(var_corr!N5*10)</f>
        <v>0</v>
      </c>
      <c r="O2">
        <f>INT(var_corr!O5*10)</f>
        <v>-1</v>
      </c>
      <c r="P2">
        <f>INT(var_corr!P5*10)</f>
        <v>0</v>
      </c>
      <c r="Q2">
        <f>INT(var_corr!Q5*10)</f>
        <v>0</v>
      </c>
      <c r="R2">
        <f>INT(var_corr!R5*10)</f>
        <v>1</v>
      </c>
      <c r="S2">
        <f>INT(var_corr!S5*10)</f>
        <v>0</v>
      </c>
      <c r="T2">
        <f>INT(var_corr!T5*10)</f>
        <v>-1</v>
      </c>
      <c r="U2">
        <f>INT(var_corr!U5*10)</f>
        <v>1</v>
      </c>
      <c r="V2">
        <f>INT(var_corr!V5*10)</f>
        <v>-1</v>
      </c>
      <c r="W2">
        <f>INT(var_corr!W5*10)</f>
        <v>0</v>
      </c>
      <c r="X2">
        <f>INT(var_corr!X5*10)</f>
        <v>0</v>
      </c>
      <c r="Y2">
        <f>INT(var_corr!Y5*10)</f>
        <v>0</v>
      </c>
      <c r="Z2">
        <f>INT(var_corr!Z5*10)</f>
        <v>0</v>
      </c>
      <c r="AA2">
        <f>INT(var_corr!AA5*10)</f>
        <v>-1</v>
      </c>
      <c r="AB2">
        <f>INT(var_corr!AB5*10)</f>
        <v>-1</v>
      </c>
      <c r="AC2">
        <f>INT(var_corr!AC5*10)</f>
        <v>2</v>
      </c>
      <c r="AD2">
        <f>INT(var_corr!AD5*10)</f>
        <v>2</v>
      </c>
      <c r="AE2">
        <f>INT(var_corr!AE5*10)</f>
        <v>0</v>
      </c>
      <c r="AF2">
        <f>INT(var_corr!AF5*10)</f>
        <v>2</v>
      </c>
      <c r="AG2">
        <f>INT(var_corr!AG5*10)</f>
        <v>-1</v>
      </c>
      <c r="AH2">
        <f>INT(var_corr!AH5*10)</f>
        <v>0</v>
      </c>
      <c r="AI2">
        <f>INT(var_corr!AI5*10)</f>
        <v>2</v>
      </c>
      <c r="AJ2">
        <f>INT(var_corr!AJ5*10)</f>
        <v>-1</v>
      </c>
      <c r="AK2">
        <f>INT(var_corr!AK5*10)</f>
        <v>2</v>
      </c>
      <c r="AL2">
        <f>INT(var_corr!AL5*10)</f>
        <v>0</v>
      </c>
      <c r="AM2">
        <f>INT(var_corr!AM5*10)</f>
        <v>0</v>
      </c>
      <c r="AN2">
        <f>INT(var_corr!AN5*10)</f>
        <v>0</v>
      </c>
      <c r="AO2">
        <f>INT(var_corr!AO5*10)</f>
        <v>0</v>
      </c>
      <c r="AP2">
        <f>INT(var_corr!AP5*10)</f>
        <v>0</v>
      </c>
    </row>
    <row r="3" spans="1:42" x14ac:dyDescent="0.15">
      <c r="A3" t="str">
        <f>var_corr!A6</f>
        <v>CORR</v>
      </c>
      <c r="B3" t="str">
        <f>var_corr!B6</f>
        <v>INTIME_PAY_woe</v>
      </c>
      <c r="C3">
        <f>INT(var_corr!C6*10)</f>
        <v>0</v>
      </c>
      <c r="D3">
        <f>INT(var_corr!D6*10)</f>
        <v>10</v>
      </c>
      <c r="E3">
        <f>INT(var_corr!E6*10)</f>
        <v>-1</v>
      </c>
      <c r="F3">
        <f>INT(var_corr!F6*10)</f>
        <v>7</v>
      </c>
      <c r="G3">
        <f>INT(var_corr!G6*10)</f>
        <v>0</v>
      </c>
      <c r="H3">
        <f>INT(var_corr!H6*10)</f>
        <v>0</v>
      </c>
      <c r="I3">
        <f>INT(var_corr!I6*10)</f>
        <v>0</v>
      </c>
      <c r="J3">
        <f>INT(var_corr!J6*10)</f>
        <v>0</v>
      </c>
      <c r="K3">
        <f>INT(var_corr!K6*10)</f>
        <v>0</v>
      </c>
      <c r="L3">
        <f>INT(var_corr!L6*10)</f>
        <v>-1</v>
      </c>
      <c r="M3">
        <f>INT(var_corr!M6*10)</f>
        <v>0</v>
      </c>
      <c r="N3">
        <f>INT(var_corr!N6*10)</f>
        <v>0</v>
      </c>
      <c r="O3">
        <f>INT(var_corr!O6*10)</f>
        <v>0</v>
      </c>
      <c r="P3">
        <f>INT(var_corr!P6*10)</f>
        <v>-1</v>
      </c>
      <c r="Q3">
        <f>INT(var_corr!Q6*10)</f>
        <v>-3</v>
      </c>
      <c r="R3">
        <f>INT(var_corr!R6*10)</f>
        <v>0</v>
      </c>
      <c r="S3">
        <f>INT(var_corr!S6*10)</f>
        <v>0</v>
      </c>
      <c r="T3">
        <f>INT(var_corr!T6*10)</f>
        <v>-4</v>
      </c>
      <c r="U3">
        <f>INT(var_corr!U6*10)</f>
        <v>0</v>
      </c>
      <c r="V3">
        <f>INT(var_corr!V6*10)</f>
        <v>0</v>
      </c>
      <c r="W3">
        <f>INT(var_corr!W6*10)</f>
        <v>-1</v>
      </c>
      <c r="X3">
        <f>INT(var_corr!X6*10)</f>
        <v>0</v>
      </c>
      <c r="Y3">
        <f>INT(var_corr!Y6*10)</f>
        <v>3</v>
      </c>
      <c r="Z3">
        <f>INT(var_corr!Z6*10)</f>
        <v>-1</v>
      </c>
      <c r="AA3">
        <f>INT(var_corr!AA6*10)</f>
        <v>-2</v>
      </c>
      <c r="AB3">
        <f>INT(var_corr!AB6*10)</f>
        <v>-4</v>
      </c>
      <c r="AC3">
        <f>INT(var_corr!AC6*10)</f>
        <v>1</v>
      </c>
      <c r="AD3">
        <f>INT(var_corr!AD6*10)</f>
        <v>0</v>
      </c>
      <c r="AE3">
        <f>INT(var_corr!AE6*10)</f>
        <v>1</v>
      </c>
      <c r="AF3">
        <f>INT(var_corr!AF6*10)</f>
        <v>0</v>
      </c>
      <c r="AG3">
        <f>INT(var_corr!AG6*10)</f>
        <v>0</v>
      </c>
      <c r="AH3">
        <f>INT(var_corr!AH6*10)</f>
        <v>0</v>
      </c>
      <c r="AI3">
        <f>INT(var_corr!AI6*10)</f>
        <v>0</v>
      </c>
      <c r="AJ3">
        <f>INT(var_corr!AJ6*10)</f>
        <v>-5</v>
      </c>
      <c r="AK3">
        <f>INT(var_corr!AK6*10)</f>
        <v>0</v>
      </c>
      <c r="AL3">
        <f>INT(var_corr!AL6*10)</f>
        <v>3</v>
      </c>
      <c r="AM3">
        <f>INT(var_corr!AM6*10)</f>
        <v>-1</v>
      </c>
      <c r="AN3">
        <f>INT(var_corr!AN6*10)</f>
        <v>0</v>
      </c>
      <c r="AO3">
        <f>INT(var_corr!AO6*10)</f>
        <v>-2</v>
      </c>
      <c r="AP3">
        <f>INT(var_corr!AP6*10)</f>
        <v>0</v>
      </c>
    </row>
    <row r="4" spans="1:42" x14ac:dyDescent="0.15">
      <c r="A4" t="str">
        <f>var_corr!A7</f>
        <v>CORR</v>
      </c>
      <c r="B4" t="str">
        <f>var_corr!B7</f>
        <v>city_woe</v>
      </c>
      <c r="C4">
        <f>INT(var_corr!C7*10)</f>
        <v>0</v>
      </c>
      <c r="D4">
        <f>INT(var_corr!D7*10)</f>
        <v>-1</v>
      </c>
      <c r="E4">
        <f>INT(var_corr!E7*10)</f>
        <v>10</v>
      </c>
      <c r="F4">
        <f>INT(var_corr!F7*10)</f>
        <v>-1</v>
      </c>
      <c r="G4">
        <f>INT(var_corr!G7*10)</f>
        <v>0</v>
      </c>
      <c r="H4">
        <f>INT(var_corr!H7*10)</f>
        <v>0</v>
      </c>
      <c r="I4">
        <f>INT(var_corr!I7*10)</f>
        <v>0</v>
      </c>
      <c r="J4">
        <f>INT(var_corr!J7*10)</f>
        <v>-1</v>
      </c>
      <c r="K4">
        <f>INT(var_corr!K7*10)</f>
        <v>0</v>
      </c>
      <c r="L4">
        <f>INT(var_corr!L7*10)</f>
        <v>0</v>
      </c>
      <c r="M4">
        <f>INT(var_corr!M7*10)</f>
        <v>0</v>
      </c>
      <c r="N4">
        <f>INT(var_corr!N7*10)</f>
        <v>0</v>
      </c>
      <c r="O4">
        <f>INT(var_corr!O7*10)</f>
        <v>-1</v>
      </c>
      <c r="P4">
        <f>INT(var_corr!P7*10)</f>
        <v>-1</v>
      </c>
      <c r="Q4">
        <f>INT(var_corr!Q7*10)</f>
        <v>0</v>
      </c>
      <c r="R4">
        <f>INT(var_corr!R7*10)</f>
        <v>0</v>
      </c>
      <c r="S4">
        <f>INT(var_corr!S7*10)</f>
        <v>0</v>
      </c>
      <c r="T4">
        <f>INT(var_corr!T7*10)</f>
        <v>-1</v>
      </c>
      <c r="U4">
        <f>INT(var_corr!U7*10)</f>
        <v>0</v>
      </c>
      <c r="V4">
        <f>INT(var_corr!V7*10)</f>
        <v>0</v>
      </c>
      <c r="W4">
        <f>INT(var_corr!W7*10)</f>
        <v>6</v>
      </c>
      <c r="X4">
        <f>INT(var_corr!X7*10)</f>
        <v>-1</v>
      </c>
      <c r="Y4">
        <f>INT(var_corr!Y7*10)</f>
        <v>0</v>
      </c>
      <c r="Z4">
        <f>INT(var_corr!Z7*10)</f>
        <v>0</v>
      </c>
      <c r="AA4">
        <f>INT(var_corr!AA7*10)</f>
        <v>-1</v>
      </c>
      <c r="AB4">
        <f>INT(var_corr!AB7*10)</f>
        <v>-1</v>
      </c>
      <c r="AC4">
        <f>INT(var_corr!AC7*10)</f>
        <v>0</v>
      </c>
      <c r="AD4">
        <f>INT(var_corr!AD7*10)</f>
        <v>0</v>
      </c>
      <c r="AE4">
        <f>INT(var_corr!AE7*10)</f>
        <v>0</v>
      </c>
      <c r="AF4">
        <f>INT(var_corr!AF7*10)</f>
        <v>0</v>
      </c>
      <c r="AG4">
        <f>INT(var_corr!AG7*10)</f>
        <v>0</v>
      </c>
      <c r="AH4">
        <f>INT(var_corr!AH7*10)</f>
        <v>0</v>
      </c>
      <c r="AI4">
        <f>INT(var_corr!AI7*10)</f>
        <v>0</v>
      </c>
      <c r="AJ4">
        <f>INT(var_corr!AJ7*10)</f>
        <v>0</v>
      </c>
      <c r="AK4">
        <f>INT(var_corr!AK7*10)</f>
        <v>0</v>
      </c>
      <c r="AL4">
        <f>INT(var_corr!AL7*10)</f>
        <v>0</v>
      </c>
      <c r="AM4">
        <f>INT(var_corr!AM7*10)</f>
        <v>1</v>
      </c>
      <c r="AN4">
        <f>INT(var_corr!AN7*10)</f>
        <v>0</v>
      </c>
      <c r="AO4">
        <f>INT(var_corr!AO7*10)</f>
        <v>0</v>
      </c>
      <c r="AP4">
        <f>INT(var_corr!AP7*10)</f>
        <v>0</v>
      </c>
    </row>
    <row r="5" spans="1:42" x14ac:dyDescent="0.15">
      <c r="A5" t="str">
        <f>var_corr!A8</f>
        <v>CORR</v>
      </c>
      <c r="B5" t="str">
        <f>var_corr!B8</f>
        <v>ONTIME_PAY_woe</v>
      </c>
      <c r="C5">
        <f>INT(var_corr!C8*10)</f>
        <v>0</v>
      </c>
      <c r="D5" s="1">
        <f>INT(var_corr!D8*10)</f>
        <v>7</v>
      </c>
      <c r="E5">
        <f>INT(var_corr!E8*10)</f>
        <v>-1</v>
      </c>
      <c r="F5">
        <f>INT(var_corr!F8*10)</f>
        <v>10</v>
      </c>
      <c r="G5">
        <f>INT(var_corr!G8*10)</f>
        <v>0</v>
      </c>
      <c r="H5">
        <f>INT(var_corr!H8*10)</f>
        <v>0</v>
      </c>
      <c r="I5">
        <f>INT(var_corr!I8*10)</f>
        <v>0</v>
      </c>
      <c r="J5">
        <f>INT(var_corr!J8*10)</f>
        <v>0</v>
      </c>
      <c r="K5">
        <f>INT(var_corr!K8*10)</f>
        <v>1</v>
      </c>
      <c r="L5">
        <f>INT(var_corr!L8*10)</f>
        <v>0</v>
      </c>
      <c r="M5">
        <f>INT(var_corr!M8*10)</f>
        <v>0</v>
      </c>
      <c r="N5">
        <f>INT(var_corr!N8*10)</f>
        <v>0</v>
      </c>
      <c r="O5">
        <f>INT(var_corr!O8*10)</f>
        <v>0</v>
      </c>
      <c r="P5">
        <f>INT(var_corr!P8*10)</f>
        <v>-1</v>
      </c>
      <c r="Q5">
        <f>INT(var_corr!Q8*10)</f>
        <v>-2</v>
      </c>
      <c r="R5">
        <f>INT(var_corr!R8*10)</f>
        <v>0</v>
      </c>
      <c r="S5">
        <f>INT(var_corr!S8*10)</f>
        <v>0</v>
      </c>
      <c r="T5">
        <f>INT(var_corr!T8*10)</f>
        <v>-4</v>
      </c>
      <c r="U5">
        <f>INT(var_corr!U8*10)</f>
        <v>-1</v>
      </c>
      <c r="V5">
        <f>INT(var_corr!V8*10)</f>
        <v>0</v>
      </c>
      <c r="W5">
        <f>INT(var_corr!W8*10)</f>
        <v>-1</v>
      </c>
      <c r="X5">
        <f>INT(var_corr!X8*10)</f>
        <v>0</v>
      </c>
      <c r="Y5">
        <f>INT(var_corr!Y8*10)</f>
        <v>3</v>
      </c>
      <c r="Z5">
        <f>INT(var_corr!Z8*10)</f>
        <v>-1</v>
      </c>
      <c r="AA5">
        <f>INT(var_corr!AA8*10)</f>
        <v>-2</v>
      </c>
      <c r="AB5">
        <f>INT(var_corr!AB8*10)</f>
        <v>-3</v>
      </c>
      <c r="AC5">
        <f>INT(var_corr!AC8*10)</f>
        <v>1</v>
      </c>
      <c r="AD5">
        <f>INT(var_corr!AD8*10)</f>
        <v>-1</v>
      </c>
      <c r="AE5">
        <f>INT(var_corr!AE8*10)</f>
        <v>1</v>
      </c>
      <c r="AF5">
        <f>INT(var_corr!AF8*10)</f>
        <v>0</v>
      </c>
      <c r="AG5">
        <f>INT(var_corr!AG8*10)</f>
        <v>-1</v>
      </c>
      <c r="AH5">
        <f>INT(var_corr!AH8*10)</f>
        <v>0</v>
      </c>
      <c r="AI5">
        <f>INT(var_corr!AI8*10)</f>
        <v>0</v>
      </c>
      <c r="AJ5">
        <f>INT(var_corr!AJ8*10)</f>
        <v>-4</v>
      </c>
      <c r="AK5">
        <f>INT(var_corr!AK8*10)</f>
        <v>-1</v>
      </c>
      <c r="AL5">
        <f>INT(var_corr!AL8*10)</f>
        <v>4</v>
      </c>
      <c r="AM5">
        <f>INT(var_corr!AM8*10)</f>
        <v>-1</v>
      </c>
      <c r="AN5">
        <f>INT(var_corr!AN8*10)</f>
        <v>0</v>
      </c>
      <c r="AO5">
        <f>INT(var_corr!AO8*10)</f>
        <v>-1</v>
      </c>
      <c r="AP5">
        <f>INT(var_corr!AP8*10)</f>
        <v>0</v>
      </c>
    </row>
    <row r="6" spans="1:42" x14ac:dyDescent="0.15">
      <c r="A6" t="str">
        <f>var_corr!A9</f>
        <v>CORR</v>
      </c>
      <c r="B6" t="str">
        <f>var_corr!B9</f>
        <v>person_sex_woe</v>
      </c>
      <c r="C6">
        <f>INT(var_corr!C9*10)</f>
        <v>0</v>
      </c>
      <c r="D6">
        <f>INT(var_corr!D9*10)</f>
        <v>0</v>
      </c>
      <c r="E6">
        <f>INT(var_corr!E9*10)</f>
        <v>0</v>
      </c>
      <c r="F6">
        <f>INT(var_corr!F9*10)</f>
        <v>0</v>
      </c>
      <c r="G6">
        <f>INT(var_corr!G9*10)</f>
        <v>10</v>
      </c>
      <c r="H6">
        <f>INT(var_corr!H9*10)</f>
        <v>-1</v>
      </c>
      <c r="I6">
        <f>INT(var_corr!I9*10)</f>
        <v>0</v>
      </c>
      <c r="J6">
        <f>INT(var_corr!J9*10)</f>
        <v>-1</v>
      </c>
      <c r="K6">
        <f>INT(var_corr!K9*10)</f>
        <v>0</v>
      </c>
      <c r="L6">
        <f>INT(var_corr!L9*10)</f>
        <v>0</v>
      </c>
      <c r="M6">
        <f>INT(var_corr!M9*10)</f>
        <v>0</v>
      </c>
      <c r="N6">
        <f>INT(var_corr!N9*10)</f>
        <v>0</v>
      </c>
      <c r="O6">
        <f>INT(var_corr!O9*10)</f>
        <v>0</v>
      </c>
      <c r="P6">
        <f>INT(var_corr!P9*10)</f>
        <v>0</v>
      </c>
      <c r="Q6">
        <f>INT(var_corr!Q9*10)</f>
        <v>0</v>
      </c>
      <c r="R6">
        <f>INT(var_corr!R9*10)</f>
        <v>0</v>
      </c>
      <c r="S6">
        <f>INT(var_corr!S9*10)</f>
        <v>0</v>
      </c>
      <c r="T6">
        <f>INT(var_corr!T9*10)</f>
        <v>-1</v>
      </c>
      <c r="U6">
        <f>INT(var_corr!U9*10)</f>
        <v>-1</v>
      </c>
      <c r="V6">
        <f>INT(var_corr!V9*10)</f>
        <v>0</v>
      </c>
      <c r="W6">
        <f>INT(var_corr!W9*10)</f>
        <v>0</v>
      </c>
      <c r="X6">
        <f>INT(var_corr!X9*10)</f>
        <v>-1</v>
      </c>
      <c r="Y6">
        <f>INT(var_corr!Y9*10)</f>
        <v>0</v>
      </c>
      <c r="Z6">
        <f>INT(var_corr!Z9*10)</f>
        <v>0</v>
      </c>
      <c r="AA6">
        <f>INT(var_corr!AA9*10)</f>
        <v>0</v>
      </c>
      <c r="AB6">
        <f>INT(var_corr!AB9*10)</f>
        <v>-1</v>
      </c>
      <c r="AC6">
        <f>INT(var_corr!AC9*10)</f>
        <v>0</v>
      </c>
      <c r="AD6">
        <f>INT(var_corr!AD9*10)</f>
        <v>0</v>
      </c>
      <c r="AE6">
        <f>INT(var_corr!AE9*10)</f>
        <v>0</v>
      </c>
      <c r="AF6">
        <f>INT(var_corr!AF9*10)</f>
        <v>0</v>
      </c>
      <c r="AG6">
        <f>INT(var_corr!AG9*10)</f>
        <v>0</v>
      </c>
      <c r="AH6">
        <f>INT(var_corr!AH9*10)</f>
        <v>-1</v>
      </c>
      <c r="AI6">
        <f>INT(var_corr!AI9*10)</f>
        <v>0</v>
      </c>
      <c r="AJ6">
        <f>INT(var_corr!AJ9*10)</f>
        <v>-1</v>
      </c>
      <c r="AK6">
        <f>INT(var_corr!AK9*10)</f>
        <v>0</v>
      </c>
      <c r="AL6">
        <f>INT(var_corr!AL9*10)</f>
        <v>0</v>
      </c>
      <c r="AM6">
        <f>INT(var_corr!AM9*10)</f>
        <v>-1</v>
      </c>
      <c r="AN6">
        <f>INT(var_corr!AN9*10)</f>
        <v>0</v>
      </c>
      <c r="AO6">
        <f>INT(var_corr!AO9*10)</f>
        <v>0</v>
      </c>
      <c r="AP6">
        <f>INT(var_corr!AP9*10)</f>
        <v>0</v>
      </c>
    </row>
    <row r="7" spans="1:42" x14ac:dyDescent="0.15">
      <c r="A7" t="str">
        <f>var_corr!A10</f>
        <v>CORR</v>
      </c>
      <c r="B7" t="str">
        <f>var_corr!B10</f>
        <v>RECENT_CONTACT_DAY_woe</v>
      </c>
      <c r="C7">
        <f>INT(var_corr!C10*10)</f>
        <v>2</v>
      </c>
      <c r="D7">
        <f>INT(var_corr!D10*10)</f>
        <v>0</v>
      </c>
      <c r="E7">
        <f>INT(var_corr!E10*10)</f>
        <v>0</v>
      </c>
      <c r="F7">
        <f>INT(var_corr!F10*10)</f>
        <v>0</v>
      </c>
      <c r="G7">
        <f>INT(var_corr!G10*10)</f>
        <v>-1</v>
      </c>
      <c r="H7">
        <f>INT(var_corr!H10*10)</f>
        <v>10</v>
      </c>
      <c r="I7">
        <f>INT(var_corr!I10*10)</f>
        <v>0</v>
      </c>
      <c r="J7">
        <f>INT(var_corr!J10*10)</f>
        <v>0</v>
      </c>
      <c r="K7">
        <f>INT(var_corr!K10*10)</f>
        <v>0</v>
      </c>
      <c r="L7">
        <f>INT(var_corr!L10*10)</f>
        <v>0</v>
      </c>
      <c r="M7">
        <f>INT(var_corr!M10*10)</f>
        <v>0</v>
      </c>
      <c r="N7">
        <f>INT(var_corr!N10*10)</f>
        <v>0</v>
      </c>
      <c r="O7">
        <f>INT(var_corr!O10*10)</f>
        <v>-1</v>
      </c>
      <c r="P7">
        <f>INT(var_corr!P10*10)</f>
        <v>0</v>
      </c>
      <c r="Q7">
        <f>INT(var_corr!Q10*10)</f>
        <v>-1</v>
      </c>
      <c r="R7">
        <f>INT(var_corr!R10*10)</f>
        <v>0</v>
      </c>
      <c r="S7">
        <f>INT(var_corr!S10*10)</f>
        <v>0</v>
      </c>
      <c r="T7">
        <f>INT(var_corr!T10*10)</f>
        <v>-1</v>
      </c>
      <c r="U7">
        <f>INT(var_corr!U10*10)</f>
        <v>3</v>
      </c>
      <c r="V7">
        <f>INT(var_corr!V10*10)</f>
        <v>-1</v>
      </c>
      <c r="W7">
        <f>INT(var_corr!W10*10)</f>
        <v>0</v>
      </c>
      <c r="X7">
        <f>INT(var_corr!X10*10)</f>
        <v>0</v>
      </c>
      <c r="Y7">
        <f>INT(var_corr!Y10*10)</f>
        <v>0</v>
      </c>
      <c r="Z7">
        <f>INT(var_corr!Z10*10)</f>
        <v>0</v>
      </c>
      <c r="AA7">
        <f>INT(var_corr!AA10*10)</f>
        <v>-1</v>
      </c>
      <c r="AB7">
        <f>INT(var_corr!AB10*10)</f>
        <v>-1</v>
      </c>
      <c r="AC7">
        <f>INT(var_corr!AC10*10)</f>
        <v>0</v>
      </c>
      <c r="AD7">
        <f>INT(var_corr!AD10*10)</f>
        <v>0</v>
      </c>
      <c r="AE7">
        <f>INT(var_corr!AE10*10)</f>
        <v>-1</v>
      </c>
      <c r="AF7">
        <f>INT(var_corr!AF10*10)</f>
        <v>0</v>
      </c>
      <c r="AG7">
        <f>INT(var_corr!AG10*10)</f>
        <v>-1</v>
      </c>
      <c r="AH7">
        <f>INT(var_corr!AH10*10)</f>
        <v>0</v>
      </c>
      <c r="AI7">
        <f>INT(var_corr!AI10*10)</f>
        <v>0</v>
      </c>
      <c r="AJ7">
        <f>INT(var_corr!AJ10*10)</f>
        <v>-1</v>
      </c>
      <c r="AK7">
        <f>INT(var_corr!AK10*10)</f>
        <v>0</v>
      </c>
      <c r="AL7">
        <f>INT(var_corr!AL10*10)</f>
        <v>-1</v>
      </c>
      <c r="AM7">
        <f>INT(var_corr!AM10*10)</f>
        <v>-1</v>
      </c>
      <c r="AN7">
        <f>INT(var_corr!AN10*10)</f>
        <v>0</v>
      </c>
      <c r="AO7">
        <f>INT(var_corr!AO10*10)</f>
        <v>0</v>
      </c>
      <c r="AP7">
        <f>INT(var_corr!AP10*10)</f>
        <v>0</v>
      </c>
    </row>
    <row r="8" spans="1:42" x14ac:dyDescent="0.15">
      <c r="A8" t="str">
        <f>var_corr!A11</f>
        <v>CORR</v>
      </c>
      <c r="B8" t="str">
        <f>var_corr!B11</f>
        <v>education_woe</v>
      </c>
      <c r="C8">
        <f>INT(var_corr!C11*10)</f>
        <v>0</v>
      </c>
      <c r="D8">
        <f>INT(var_corr!D11*10)</f>
        <v>0</v>
      </c>
      <c r="E8">
        <f>INT(var_corr!E11*10)</f>
        <v>0</v>
      </c>
      <c r="F8">
        <f>INT(var_corr!F11*10)</f>
        <v>0</v>
      </c>
      <c r="G8">
        <f>INT(var_corr!G11*10)</f>
        <v>0</v>
      </c>
      <c r="H8">
        <f>INT(var_corr!H11*10)</f>
        <v>0</v>
      </c>
      <c r="I8">
        <f>INT(var_corr!I11*10)</f>
        <v>10</v>
      </c>
      <c r="J8">
        <f>INT(var_corr!J11*10)</f>
        <v>0</v>
      </c>
      <c r="K8">
        <f>INT(var_corr!K11*10)</f>
        <v>0</v>
      </c>
      <c r="L8">
        <f>INT(var_corr!L11*10)</f>
        <v>-1</v>
      </c>
      <c r="M8">
        <f>INT(var_corr!M11*10)</f>
        <v>0</v>
      </c>
      <c r="N8">
        <f>INT(var_corr!N11*10)</f>
        <v>0</v>
      </c>
      <c r="O8">
        <f>INT(var_corr!O11*10)</f>
        <v>0</v>
      </c>
      <c r="P8">
        <f>INT(var_corr!P11*10)</f>
        <v>0</v>
      </c>
      <c r="Q8">
        <f>INT(var_corr!Q11*10)</f>
        <v>-1</v>
      </c>
      <c r="R8">
        <f>INT(var_corr!R11*10)</f>
        <v>-1</v>
      </c>
      <c r="S8">
        <f>INT(var_corr!S11*10)</f>
        <v>-1</v>
      </c>
      <c r="T8">
        <f>INT(var_corr!T11*10)</f>
        <v>-1</v>
      </c>
      <c r="U8">
        <f>INT(var_corr!U11*10)</f>
        <v>0</v>
      </c>
      <c r="V8">
        <f>INT(var_corr!V11*10)</f>
        <v>1</v>
      </c>
      <c r="W8">
        <f>INT(var_corr!W11*10)</f>
        <v>0</v>
      </c>
      <c r="X8">
        <f>INT(var_corr!X11*10)</f>
        <v>0</v>
      </c>
      <c r="Y8">
        <f>INT(var_corr!Y11*10)</f>
        <v>0</v>
      </c>
      <c r="Z8">
        <f>INT(var_corr!Z11*10)</f>
        <v>-1</v>
      </c>
      <c r="AA8">
        <f>INT(var_corr!AA11*10)</f>
        <v>-1</v>
      </c>
      <c r="AB8">
        <f>INT(var_corr!AB11*10)</f>
        <v>-1</v>
      </c>
      <c r="AC8">
        <f>INT(var_corr!AC11*10)</f>
        <v>0</v>
      </c>
      <c r="AD8">
        <f>INT(var_corr!AD11*10)</f>
        <v>-1</v>
      </c>
      <c r="AE8">
        <f>INT(var_corr!AE11*10)</f>
        <v>0</v>
      </c>
      <c r="AF8">
        <f>INT(var_corr!AF11*10)</f>
        <v>-1</v>
      </c>
      <c r="AG8">
        <f>INT(var_corr!AG11*10)</f>
        <v>-1</v>
      </c>
      <c r="AH8">
        <f>INT(var_corr!AH11*10)</f>
        <v>2</v>
      </c>
      <c r="AI8">
        <f>INT(var_corr!AI11*10)</f>
        <v>-1</v>
      </c>
      <c r="AJ8">
        <f>INT(var_corr!AJ11*10)</f>
        <v>-2</v>
      </c>
      <c r="AK8">
        <f>INT(var_corr!AK11*10)</f>
        <v>-1</v>
      </c>
      <c r="AL8">
        <f>INT(var_corr!AL11*10)</f>
        <v>0</v>
      </c>
      <c r="AM8">
        <f>INT(var_corr!AM11*10)</f>
        <v>-2</v>
      </c>
      <c r="AN8">
        <f>INT(var_corr!AN11*10)</f>
        <v>0</v>
      </c>
      <c r="AO8">
        <f>INT(var_corr!AO11*10)</f>
        <v>0</v>
      </c>
      <c r="AP8">
        <f>INT(var_corr!AP11*10)</f>
        <v>0</v>
      </c>
    </row>
    <row r="9" spans="1:42" x14ac:dyDescent="0.15">
      <c r="A9" t="str">
        <f>var_corr!A12</f>
        <v>CORR</v>
      </c>
      <c r="B9" t="str">
        <f>var_corr!B12</f>
        <v>OTHER_PERSON_TYPE_woe</v>
      </c>
      <c r="C9">
        <f>INT(var_corr!C12*10)</f>
        <v>0</v>
      </c>
      <c r="D9">
        <f>INT(var_corr!D12*10)</f>
        <v>0</v>
      </c>
      <c r="E9">
        <f>INT(var_corr!E12*10)</f>
        <v>-1</v>
      </c>
      <c r="F9">
        <f>INT(var_corr!F12*10)</f>
        <v>0</v>
      </c>
      <c r="G9">
        <f>INT(var_corr!G12*10)</f>
        <v>-1</v>
      </c>
      <c r="H9">
        <f>INT(var_corr!H12*10)</f>
        <v>0</v>
      </c>
      <c r="I9">
        <f>INT(var_corr!I12*10)</f>
        <v>0</v>
      </c>
      <c r="J9">
        <f>INT(var_corr!J12*10)</f>
        <v>10</v>
      </c>
      <c r="K9">
        <f>INT(var_corr!K12*10)</f>
        <v>0</v>
      </c>
      <c r="L9">
        <f>INT(var_corr!L12*10)</f>
        <v>0</v>
      </c>
      <c r="M9">
        <f>INT(var_corr!M12*10)</f>
        <v>-1</v>
      </c>
      <c r="N9">
        <f>INT(var_corr!N12*10)</f>
        <v>0</v>
      </c>
      <c r="O9">
        <f>INT(var_corr!O12*10)</f>
        <v>0</v>
      </c>
      <c r="P9">
        <f>INT(var_corr!P12*10)</f>
        <v>0</v>
      </c>
      <c r="Q9">
        <f>INT(var_corr!Q12*10)</f>
        <v>-2</v>
      </c>
      <c r="R9">
        <f>INT(var_corr!R12*10)</f>
        <v>-1</v>
      </c>
      <c r="S9">
        <f>INT(var_corr!S12*10)</f>
        <v>-1</v>
      </c>
      <c r="T9">
        <f>INT(var_corr!T12*10)</f>
        <v>-3</v>
      </c>
      <c r="U9">
        <f>INT(var_corr!U12*10)</f>
        <v>0</v>
      </c>
      <c r="V9">
        <f>INT(var_corr!V12*10)</f>
        <v>0</v>
      </c>
      <c r="W9">
        <f>INT(var_corr!W12*10)</f>
        <v>-1</v>
      </c>
      <c r="X9">
        <f>INT(var_corr!X12*10)</f>
        <v>-1</v>
      </c>
      <c r="Y9">
        <f>INT(var_corr!Y12*10)</f>
        <v>0</v>
      </c>
      <c r="Z9">
        <f>INT(var_corr!Z12*10)</f>
        <v>-1</v>
      </c>
      <c r="AA9">
        <f>INT(var_corr!AA12*10)</f>
        <v>-1</v>
      </c>
      <c r="AB9">
        <f>INT(var_corr!AB12*10)</f>
        <v>-3</v>
      </c>
      <c r="AC9">
        <f>INT(var_corr!AC12*10)</f>
        <v>0</v>
      </c>
      <c r="AD9">
        <f>INT(var_corr!AD12*10)</f>
        <v>0</v>
      </c>
      <c r="AE9">
        <f>INT(var_corr!AE12*10)</f>
        <v>-1</v>
      </c>
      <c r="AF9">
        <f>INT(var_corr!AF12*10)</f>
        <v>0</v>
      </c>
      <c r="AG9">
        <f>INT(var_corr!AG12*10)</f>
        <v>-1</v>
      </c>
      <c r="AH9">
        <f>INT(var_corr!AH12*10)</f>
        <v>-1</v>
      </c>
      <c r="AI9">
        <f>INT(var_corr!AI12*10)</f>
        <v>0</v>
      </c>
      <c r="AJ9">
        <f>INT(var_corr!AJ12*10)</f>
        <v>-2</v>
      </c>
      <c r="AK9">
        <f>INT(var_corr!AK12*10)</f>
        <v>0</v>
      </c>
      <c r="AL9">
        <f>INT(var_corr!AL12*10)</f>
        <v>0</v>
      </c>
      <c r="AM9">
        <f>INT(var_corr!AM12*10)</f>
        <v>-1</v>
      </c>
      <c r="AN9">
        <f>INT(var_corr!AN12*10)</f>
        <v>0</v>
      </c>
      <c r="AO9">
        <f>INT(var_corr!AO12*10)</f>
        <v>-1</v>
      </c>
      <c r="AP9">
        <f>INT(var_corr!AP12*10)</f>
        <v>-1</v>
      </c>
    </row>
    <row r="10" spans="1:42" x14ac:dyDescent="0.15">
      <c r="A10" t="str">
        <f>var_corr!A13</f>
        <v>CORR</v>
      </c>
      <c r="B10" t="str">
        <f>var_corr!B13</f>
        <v>BPTP_RATIO_woe</v>
      </c>
      <c r="C10">
        <f>INT(var_corr!C13*10)</f>
        <v>2</v>
      </c>
      <c r="D10">
        <f>INT(var_corr!D13*10)</f>
        <v>0</v>
      </c>
      <c r="E10">
        <f>INT(var_corr!E13*10)</f>
        <v>0</v>
      </c>
      <c r="F10">
        <f>INT(var_corr!F13*10)</f>
        <v>1</v>
      </c>
      <c r="G10">
        <f>INT(var_corr!G13*10)</f>
        <v>0</v>
      </c>
      <c r="H10">
        <f>INT(var_corr!H13*10)</f>
        <v>0</v>
      </c>
      <c r="I10">
        <f>INT(var_corr!I13*10)</f>
        <v>0</v>
      </c>
      <c r="J10">
        <f>INT(var_corr!J13*10)</f>
        <v>0</v>
      </c>
      <c r="K10">
        <f>INT(var_corr!K13*10)</f>
        <v>10</v>
      </c>
      <c r="L10">
        <f>INT(var_corr!L13*10)</f>
        <v>0</v>
      </c>
      <c r="M10">
        <f>INT(var_corr!M13*10)</f>
        <v>0</v>
      </c>
      <c r="N10">
        <f>INT(var_corr!N13*10)</f>
        <v>0</v>
      </c>
      <c r="O10">
        <f>INT(var_corr!O13*10)</f>
        <v>0</v>
      </c>
      <c r="P10">
        <f>INT(var_corr!P13*10)</f>
        <v>0</v>
      </c>
      <c r="Q10">
        <f>INT(var_corr!Q13*10)</f>
        <v>-1</v>
      </c>
      <c r="R10">
        <f>INT(var_corr!R13*10)</f>
        <v>1</v>
      </c>
      <c r="S10">
        <f>INT(var_corr!S13*10)</f>
        <v>0</v>
      </c>
      <c r="T10">
        <f>INT(var_corr!T13*10)</f>
        <v>-1</v>
      </c>
      <c r="U10">
        <f>INT(var_corr!U13*10)</f>
        <v>2</v>
      </c>
      <c r="V10">
        <f>INT(var_corr!V13*10)</f>
        <v>0</v>
      </c>
      <c r="W10">
        <f>INT(var_corr!W13*10)</f>
        <v>0</v>
      </c>
      <c r="X10">
        <f>INT(var_corr!X13*10)</f>
        <v>0</v>
      </c>
      <c r="Y10">
        <f>INT(var_corr!Y13*10)</f>
        <v>0</v>
      </c>
      <c r="Z10">
        <f>INT(var_corr!Z13*10)</f>
        <v>0</v>
      </c>
      <c r="AA10">
        <f>INT(var_corr!AA13*10)</f>
        <v>-1</v>
      </c>
      <c r="AB10">
        <f>INT(var_corr!AB13*10)</f>
        <v>-1</v>
      </c>
      <c r="AC10">
        <f>INT(var_corr!AC13*10)</f>
        <v>9</v>
      </c>
      <c r="AD10">
        <f>INT(var_corr!AD13*10)</f>
        <v>2</v>
      </c>
      <c r="AE10">
        <f>INT(var_corr!AE13*10)</f>
        <v>0</v>
      </c>
      <c r="AF10">
        <f>INT(var_corr!AF13*10)</f>
        <v>2</v>
      </c>
      <c r="AG10">
        <f>INT(var_corr!AG13*10)</f>
        <v>2</v>
      </c>
      <c r="AH10">
        <f>INT(var_corr!AH13*10)</f>
        <v>0</v>
      </c>
      <c r="AI10">
        <f>INT(var_corr!AI13*10)</f>
        <v>1</v>
      </c>
      <c r="AJ10">
        <f>INT(var_corr!AJ13*10)</f>
        <v>-1</v>
      </c>
      <c r="AK10">
        <f>INT(var_corr!AK13*10)</f>
        <v>2</v>
      </c>
      <c r="AL10">
        <f>INT(var_corr!AL13*10)</f>
        <v>0</v>
      </c>
      <c r="AM10">
        <f>INT(var_corr!AM13*10)</f>
        <v>0</v>
      </c>
      <c r="AN10">
        <f>INT(var_corr!AN13*10)</f>
        <v>0</v>
      </c>
      <c r="AO10">
        <f>INT(var_corr!AO13*10)</f>
        <v>0</v>
      </c>
      <c r="AP10">
        <f>INT(var_corr!AP13*10)</f>
        <v>0</v>
      </c>
    </row>
    <row r="11" spans="1:42" x14ac:dyDescent="0.15">
      <c r="A11" t="str">
        <f>var_corr!A14</f>
        <v>CORR</v>
      </c>
      <c r="B11" t="str">
        <f>var_corr!B14</f>
        <v>FAMILY_STATE_woe</v>
      </c>
      <c r="C11">
        <f>INT(var_corr!C14*10)</f>
        <v>0</v>
      </c>
      <c r="D11">
        <f>INT(var_corr!D14*10)</f>
        <v>-1</v>
      </c>
      <c r="E11">
        <f>INT(var_corr!E14*10)</f>
        <v>0</v>
      </c>
      <c r="F11">
        <f>INT(var_corr!F14*10)</f>
        <v>0</v>
      </c>
      <c r="G11">
        <f>INT(var_corr!G14*10)</f>
        <v>0</v>
      </c>
      <c r="H11">
        <f>INT(var_corr!H14*10)</f>
        <v>0</v>
      </c>
      <c r="I11">
        <f>INT(var_corr!I14*10)</f>
        <v>-1</v>
      </c>
      <c r="J11">
        <f>INT(var_corr!J14*10)</f>
        <v>0</v>
      </c>
      <c r="K11">
        <f>INT(var_corr!K14*10)</f>
        <v>0</v>
      </c>
      <c r="L11">
        <f>INT(var_corr!L14*10)</f>
        <v>10</v>
      </c>
      <c r="M11">
        <f>INT(var_corr!M14*10)</f>
        <v>0</v>
      </c>
      <c r="N11">
        <f>INT(var_corr!N14*10)</f>
        <v>-1</v>
      </c>
      <c r="O11">
        <f>INT(var_corr!O14*10)</f>
        <v>-1</v>
      </c>
      <c r="P11">
        <f>INT(var_corr!P14*10)</f>
        <v>0</v>
      </c>
      <c r="Q11">
        <f>INT(var_corr!Q14*10)</f>
        <v>0</v>
      </c>
      <c r="R11">
        <f>INT(var_corr!R14*10)</f>
        <v>0</v>
      </c>
      <c r="S11">
        <f>INT(var_corr!S14*10)</f>
        <v>0</v>
      </c>
      <c r="T11">
        <f>INT(var_corr!T14*10)</f>
        <v>-1</v>
      </c>
      <c r="U11">
        <f>INT(var_corr!U14*10)</f>
        <v>0</v>
      </c>
      <c r="V11">
        <f>INT(var_corr!V14*10)</f>
        <v>-3</v>
      </c>
      <c r="W11">
        <f>INT(var_corr!W14*10)</f>
        <v>0</v>
      </c>
      <c r="X11">
        <f>INT(var_corr!X14*10)</f>
        <v>-1</v>
      </c>
      <c r="Y11">
        <f>INT(var_corr!Y14*10)</f>
        <v>-1</v>
      </c>
      <c r="Z11">
        <f>INT(var_corr!Z14*10)</f>
        <v>0</v>
      </c>
      <c r="AA11">
        <f>INT(var_corr!AA14*10)</f>
        <v>0</v>
      </c>
      <c r="AB11">
        <f>INT(var_corr!AB14*10)</f>
        <v>-1</v>
      </c>
      <c r="AC11">
        <f>INT(var_corr!AC14*10)</f>
        <v>0</v>
      </c>
      <c r="AD11">
        <f>INT(var_corr!AD14*10)</f>
        <v>0</v>
      </c>
      <c r="AE11">
        <f>INT(var_corr!AE14*10)</f>
        <v>0</v>
      </c>
      <c r="AF11">
        <f>INT(var_corr!AF14*10)</f>
        <v>0</v>
      </c>
      <c r="AG11">
        <f>INT(var_corr!AG14*10)</f>
        <v>0</v>
      </c>
      <c r="AH11">
        <f>INT(var_corr!AH14*10)</f>
        <v>0</v>
      </c>
      <c r="AI11">
        <f>INT(var_corr!AI14*10)</f>
        <v>0</v>
      </c>
      <c r="AJ11">
        <f>INT(var_corr!AJ14*10)</f>
        <v>0</v>
      </c>
      <c r="AK11">
        <f>INT(var_corr!AK14*10)</f>
        <v>0</v>
      </c>
      <c r="AL11">
        <f>INT(var_corr!AL14*10)</f>
        <v>-1</v>
      </c>
      <c r="AM11">
        <f>INT(var_corr!AM14*10)</f>
        <v>0</v>
      </c>
      <c r="AN11">
        <f>INT(var_corr!AN14*10)</f>
        <v>-1</v>
      </c>
      <c r="AO11">
        <f>INT(var_corr!AO14*10)</f>
        <v>0</v>
      </c>
      <c r="AP11">
        <f>INT(var_corr!AP14*10)</f>
        <v>0</v>
      </c>
    </row>
    <row r="12" spans="1:42" x14ac:dyDescent="0.15">
      <c r="A12" t="str">
        <f>var_corr!A15</f>
        <v>CORR</v>
      </c>
      <c r="B12" t="str">
        <f>var_corr!B15</f>
        <v>IS_SUIXINHUAN_woe</v>
      </c>
      <c r="C12">
        <f>INT(var_corr!C15*10)</f>
        <v>0</v>
      </c>
      <c r="D12">
        <f>INT(var_corr!D15*10)</f>
        <v>0</v>
      </c>
      <c r="E12">
        <f>INT(var_corr!E15*10)</f>
        <v>0</v>
      </c>
      <c r="F12">
        <f>INT(var_corr!F15*10)</f>
        <v>0</v>
      </c>
      <c r="G12">
        <f>INT(var_corr!G15*10)</f>
        <v>0</v>
      </c>
      <c r="H12">
        <f>INT(var_corr!H15*10)</f>
        <v>0</v>
      </c>
      <c r="I12">
        <f>INT(var_corr!I15*10)</f>
        <v>0</v>
      </c>
      <c r="J12">
        <f>INT(var_corr!J15*10)</f>
        <v>-1</v>
      </c>
      <c r="K12">
        <f>INT(var_corr!K15*10)</f>
        <v>0</v>
      </c>
      <c r="L12">
        <f>INT(var_corr!L15*10)</f>
        <v>0</v>
      </c>
      <c r="M12">
        <f>INT(var_corr!M15*10)</f>
        <v>10</v>
      </c>
      <c r="N12">
        <f>INT(var_corr!N15*10)</f>
        <v>0</v>
      </c>
      <c r="O12">
        <f>INT(var_corr!O15*10)</f>
        <v>-1</v>
      </c>
      <c r="P12">
        <f>INT(var_corr!P15*10)</f>
        <v>0</v>
      </c>
      <c r="Q12">
        <f>INT(var_corr!Q15*10)</f>
        <v>-1</v>
      </c>
      <c r="R12">
        <f>INT(var_corr!R15*10)</f>
        <v>0</v>
      </c>
      <c r="S12">
        <f>INT(var_corr!S15*10)</f>
        <v>0</v>
      </c>
      <c r="T12">
        <f>INT(var_corr!T15*10)</f>
        <v>-1</v>
      </c>
      <c r="U12">
        <f>INT(var_corr!U15*10)</f>
        <v>0</v>
      </c>
      <c r="V12">
        <f>INT(var_corr!V15*10)</f>
        <v>-1</v>
      </c>
      <c r="W12">
        <f>INT(var_corr!W15*10)</f>
        <v>0</v>
      </c>
      <c r="X12">
        <f>INT(var_corr!X15*10)</f>
        <v>0</v>
      </c>
      <c r="Y12">
        <f>INT(var_corr!Y15*10)</f>
        <v>1</v>
      </c>
      <c r="Z12">
        <f>INT(var_corr!Z15*10)</f>
        <v>0</v>
      </c>
      <c r="AA12">
        <f>INT(var_corr!AA15*10)</f>
        <v>-1</v>
      </c>
      <c r="AB12">
        <f>INT(var_corr!AB15*10)</f>
        <v>-1</v>
      </c>
      <c r="AC12">
        <f>INT(var_corr!AC15*10)</f>
        <v>0</v>
      </c>
      <c r="AD12">
        <f>INT(var_corr!AD15*10)</f>
        <v>-1</v>
      </c>
      <c r="AE12">
        <f>INT(var_corr!AE15*10)</f>
        <v>0</v>
      </c>
      <c r="AF12">
        <f>INT(var_corr!AF15*10)</f>
        <v>-1</v>
      </c>
      <c r="AG12">
        <f>INT(var_corr!AG15*10)</f>
        <v>-1</v>
      </c>
      <c r="AH12">
        <f>INT(var_corr!AH15*10)</f>
        <v>0</v>
      </c>
      <c r="AI12">
        <f>INT(var_corr!AI15*10)</f>
        <v>-1</v>
      </c>
      <c r="AJ12">
        <f>INT(var_corr!AJ15*10)</f>
        <v>-1</v>
      </c>
      <c r="AK12">
        <f>INT(var_corr!AK15*10)</f>
        <v>-1</v>
      </c>
      <c r="AL12">
        <f>INT(var_corr!AL15*10)</f>
        <v>0</v>
      </c>
      <c r="AM12">
        <f>INT(var_corr!AM15*10)</f>
        <v>0</v>
      </c>
      <c r="AN12">
        <f>INT(var_corr!AN15*10)</f>
        <v>0</v>
      </c>
      <c r="AO12">
        <f>INT(var_corr!AO15*10)</f>
        <v>1</v>
      </c>
      <c r="AP12">
        <f>INT(var_corr!AP15*10)</f>
        <v>1</v>
      </c>
    </row>
    <row r="13" spans="1:42" x14ac:dyDescent="0.15">
      <c r="A13" t="str">
        <f>var_corr!A16</f>
        <v>CORR</v>
      </c>
      <c r="B13" t="str">
        <f>var_corr!B16</f>
        <v>CERTF_INTERVAL_YEARS_woe</v>
      </c>
      <c r="C13">
        <f>INT(var_corr!C16*10)</f>
        <v>0</v>
      </c>
      <c r="D13">
        <f>INT(var_corr!D16*10)</f>
        <v>0</v>
      </c>
      <c r="E13">
        <f>INT(var_corr!E16*10)</f>
        <v>0</v>
      </c>
      <c r="F13">
        <f>INT(var_corr!F16*10)</f>
        <v>0</v>
      </c>
      <c r="G13">
        <f>INT(var_corr!G16*10)</f>
        <v>0</v>
      </c>
      <c r="H13">
        <f>INT(var_corr!H16*10)</f>
        <v>0</v>
      </c>
      <c r="I13">
        <f>INT(var_corr!I16*10)</f>
        <v>0</v>
      </c>
      <c r="J13">
        <f>INT(var_corr!J16*10)</f>
        <v>0</v>
      </c>
      <c r="K13">
        <f>INT(var_corr!K16*10)</f>
        <v>0</v>
      </c>
      <c r="L13">
        <f>INT(var_corr!L16*10)</f>
        <v>-1</v>
      </c>
      <c r="M13">
        <f>INT(var_corr!M16*10)</f>
        <v>0</v>
      </c>
      <c r="N13">
        <f>INT(var_corr!N16*10)</f>
        <v>10</v>
      </c>
      <c r="O13">
        <f>INT(var_corr!O16*10)</f>
        <v>0</v>
      </c>
      <c r="P13">
        <f>INT(var_corr!P16*10)</f>
        <v>0</v>
      </c>
      <c r="Q13">
        <f>INT(var_corr!Q16*10)</f>
        <v>-1</v>
      </c>
      <c r="R13">
        <f>INT(var_corr!R16*10)</f>
        <v>-1</v>
      </c>
      <c r="S13">
        <f>INT(var_corr!S16*10)</f>
        <v>-1</v>
      </c>
      <c r="T13">
        <f>INT(var_corr!T16*10)</f>
        <v>-1</v>
      </c>
      <c r="U13">
        <f>INT(var_corr!U16*10)</f>
        <v>0</v>
      </c>
      <c r="V13">
        <f>INT(var_corr!V16*10)</f>
        <v>1</v>
      </c>
      <c r="W13">
        <f>INT(var_corr!W16*10)</f>
        <v>0</v>
      </c>
      <c r="X13">
        <f>INT(var_corr!X16*10)</f>
        <v>0</v>
      </c>
      <c r="Y13">
        <f>INT(var_corr!Y16*10)</f>
        <v>0</v>
      </c>
      <c r="Z13">
        <f>INT(var_corr!Z16*10)</f>
        <v>-1</v>
      </c>
      <c r="AA13">
        <f>INT(var_corr!AA16*10)</f>
        <v>-1</v>
      </c>
      <c r="AB13">
        <f>INT(var_corr!AB16*10)</f>
        <v>-1</v>
      </c>
      <c r="AC13">
        <f>INT(var_corr!AC16*10)</f>
        <v>0</v>
      </c>
      <c r="AD13">
        <f>INT(var_corr!AD16*10)</f>
        <v>-1</v>
      </c>
      <c r="AE13">
        <f>INT(var_corr!AE16*10)</f>
        <v>-1</v>
      </c>
      <c r="AF13">
        <f>INT(var_corr!AF16*10)</f>
        <v>-1</v>
      </c>
      <c r="AG13">
        <f>INT(var_corr!AG16*10)</f>
        <v>-1</v>
      </c>
      <c r="AH13">
        <f>INT(var_corr!AH16*10)</f>
        <v>-1</v>
      </c>
      <c r="AI13">
        <f>INT(var_corr!AI16*10)</f>
        <v>-1</v>
      </c>
      <c r="AJ13">
        <f>INT(var_corr!AJ16*10)</f>
        <v>-1</v>
      </c>
      <c r="AK13">
        <f>INT(var_corr!AK16*10)</f>
        <v>-1</v>
      </c>
      <c r="AL13">
        <f>INT(var_corr!AL16*10)</f>
        <v>0</v>
      </c>
      <c r="AM13">
        <f>INT(var_corr!AM16*10)</f>
        <v>-1</v>
      </c>
      <c r="AN13">
        <f>INT(var_corr!AN16*10)</f>
        <v>0</v>
      </c>
      <c r="AO13">
        <f>INT(var_corr!AO16*10)</f>
        <v>0</v>
      </c>
      <c r="AP13">
        <f>INT(var_corr!AP16*10)</f>
        <v>0</v>
      </c>
    </row>
    <row r="14" spans="1:42" x14ac:dyDescent="0.15">
      <c r="A14" t="str">
        <f>var_corr!A17</f>
        <v>CORR</v>
      </c>
      <c r="B14" t="str">
        <f>var_corr!B17</f>
        <v>F_SAME_REG_woe</v>
      </c>
      <c r="C14">
        <f>INT(var_corr!C17*10)</f>
        <v>-1</v>
      </c>
      <c r="D14">
        <f>INT(var_corr!D17*10)</f>
        <v>0</v>
      </c>
      <c r="E14">
        <f>INT(var_corr!E17*10)</f>
        <v>-1</v>
      </c>
      <c r="F14">
        <f>INT(var_corr!F17*10)</f>
        <v>0</v>
      </c>
      <c r="G14">
        <f>INT(var_corr!G17*10)</f>
        <v>0</v>
      </c>
      <c r="H14">
        <f>INT(var_corr!H17*10)</f>
        <v>-1</v>
      </c>
      <c r="I14">
        <f>INT(var_corr!I17*10)</f>
        <v>0</v>
      </c>
      <c r="J14">
        <f>INT(var_corr!J17*10)</f>
        <v>0</v>
      </c>
      <c r="K14">
        <f>INT(var_corr!K17*10)</f>
        <v>0</v>
      </c>
      <c r="L14">
        <f>INT(var_corr!L17*10)</f>
        <v>-1</v>
      </c>
      <c r="M14">
        <f>INT(var_corr!M17*10)</f>
        <v>-1</v>
      </c>
      <c r="N14">
        <f>INT(var_corr!N17*10)</f>
        <v>0</v>
      </c>
      <c r="O14">
        <f>INT(var_corr!O17*10)</f>
        <v>10</v>
      </c>
      <c r="P14">
        <f>INT(var_corr!P17*10)</f>
        <v>0</v>
      </c>
      <c r="Q14">
        <f>INT(var_corr!Q17*10)</f>
        <v>0</v>
      </c>
      <c r="R14">
        <f>INT(var_corr!R17*10)</f>
        <v>0</v>
      </c>
      <c r="S14">
        <f>INT(var_corr!S17*10)</f>
        <v>0</v>
      </c>
      <c r="T14">
        <f>INT(var_corr!T17*10)</f>
        <v>0</v>
      </c>
      <c r="U14">
        <f>INT(var_corr!U17*10)</f>
        <v>-1</v>
      </c>
      <c r="V14">
        <f>INT(var_corr!V17*10)</f>
        <v>0</v>
      </c>
      <c r="W14">
        <f>INT(var_corr!W17*10)</f>
        <v>-1</v>
      </c>
      <c r="X14">
        <f>INT(var_corr!X17*10)</f>
        <v>0</v>
      </c>
      <c r="Y14">
        <f>INT(var_corr!Y17*10)</f>
        <v>-1</v>
      </c>
      <c r="Z14">
        <f>INT(var_corr!Z17*10)</f>
        <v>0</v>
      </c>
      <c r="AA14">
        <f>INT(var_corr!AA17*10)</f>
        <v>0</v>
      </c>
      <c r="AB14">
        <f>INT(var_corr!AB17*10)</f>
        <v>0</v>
      </c>
      <c r="AC14">
        <f>INT(var_corr!AC17*10)</f>
        <v>0</v>
      </c>
      <c r="AD14">
        <f>INT(var_corr!AD17*10)</f>
        <v>0</v>
      </c>
      <c r="AE14">
        <f>INT(var_corr!AE17*10)</f>
        <v>0</v>
      </c>
      <c r="AF14">
        <f>INT(var_corr!AF17*10)</f>
        <v>-1</v>
      </c>
      <c r="AG14">
        <f>INT(var_corr!AG17*10)</f>
        <v>0</v>
      </c>
      <c r="AH14">
        <f>INT(var_corr!AH17*10)</f>
        <v>-1</v>
      </c>
      <c r="AI14">
        <f>INT(var_corr!AI17*10)</f>
        <v>-1</v>
      </c>
      <c r="AJ14">
        <f>INT(var_corr!AJ17*10)</f>
        <v>-1</v>
      </c>
      <c r="AK14">
        <f>INT(var_corr!AK17*10)</f>
        <v>-1</v>
      </c>
      <c r="AL14">
        <f>INT(var_corr!AL17*10)</f>
        <v>-1</v>
      </c>
      <c r="AM14">
        <f>INT(var_corr!AM17*10)</f>
        <v>-1</v>
      </c>
      <c r="AN14">
        <f>INT(var_corr!AN17*10)</f>
        <v>0</v>
      </c>
      <c r="AO14">
        <f>INT(var_corr!AO17*10)</f>
        <v>-1</v>
      </c>
      <c r="AP14">
        <f>INT(var_corr!AP17*10)</f>
        <v>-1</v>
      </c>
    </row>
    <row r="15" spans="1:42" x14ac:dyDescent="0.15">
      <c r="A15" t="str">
        <f>var_corr!A18</f>
        <v>CORR</v>
      </c>
      <c r="B15" t="str">
        <f>var_corr!B18</f>
        <v>INTER3_COUNT_woe</v>
      </c>
      <c r="C15">
        <f>INT(var_corr!C18*10)</f>
        <v>0</v>
      </c>
      <c r="D15">
        <f>INT(var_corr!D18*10)</f>
        <v>-1</v>
      </c>
      <c r="E15">
        <f>INT(var_corr!E18*10)</f>
        <v>-1</v>
      </c>
      <c r="F15">
        <f>INT(var_corr!F18*10)</f>
        <v>-1</v>
      </c>
      <c r="G15">
        <f>INT(var_corr!G18*10)</f>
        <v>0</v>
      </c>
      <c r="H15">
        <f>INT(var_corr!H18*10)</f>
        <v>0</v>
      </c>
      <c r="I15">
        <f>INT(var_corr!I18*10)</f>
        <v>0</v>
      </c>
      <c r="J15">
        <f>INT(var_corr!J18*10)</f>
        <v>0</v>
      </c>
      <c r="K15">
        <f>INT(var_corr!K18*10)</f>
        <v>0</v>
      </c>
      <c r="L15">
        <f>INT(var_corr!L18*10)</f>
        <v>0</v>
      </c>
      <c r="M15">
        <f>INT(var_corr!M18*10)</f>
        <v>0</v>
      </c>
      <c r="N15">
        <f>INT(var_corr!N18*10)</f>
        <v>0</v>
      </c>
      <c r="O15">
        <f>INT(var_corr!O18*10)</f>
        <v>0</v>
      </c>
      <c r="P15">
        <f>INT(var_corr!P18*10)</f>
        <v>10</v>
      </c>
      <c r="Q15">
        <f>INT(var_corr!Q18*10)</f>
        <v>0</v>
      </c>
      <c r="R15">
        <f>INT(var_corr!R18*10)</f>
        <v>0</v>
      </c>
      <c r="S15">
        <f>INT(var_corr!S18*10)</f>
        <v>0</v>
      </c>
      <c r="T15">
        <f>INT(var_corr!T18*10)</f>
        <v>-1</v>
      </c>
      <c r="U15">
        <f>INT(var_corr!U18*10)</f>
        <v>-1</v>
      </c>
      <c r="V15">
        <f>INT(var_corr!V18*10)</f>
        <v>0</v>
      </c>
      <c r="W15">
        <f>INT(var_corr!W18*10)</f>
        <v>-1</v>
      </c>
      <c r="X15">
        <f>INT(var_corr!X18*10)</f>
        <v>0</v>
      </c>
      <c r="Y15">
        <f>INT(var_corr!Y18*10)</f>
        <v>-1</v>
      </c>
      <c r="Z15">
        <f>INT(var_corr!Z18*10)</f>
        <v>0</v>
      </c>
      <c r="AA15">
        <f>INT(var_corr!AA18*10)</f>
        <v>1</v>
      </c>
      <c r="AB15">
        <f>INT(var_corr!AB18*10)</f>
        <v>-1</v>
      </c>
      <c r="AC15">
        <f>INT(var_corr!AC18*10)</f>
        <v>0</v>
      </c>
      <c r="AD15">
        <f>INT(var_corr!AD18*10)</f>
        <v>0</v>
      </c>
      <c r="AE15">
        <f>INT(var_corr!AE18*10)</f>
        <v>0</v>
      </c>
      <c r="AF15">
        <f>INT(var_corr!AF18*10)</f>
        <v>0</v>
      </c>
      <c r="AG15">
        <f>INT(var_corr!AG18*10)</f>
        <v>0</v>
      </c>
      <c r="AH15">
        <f>INT(var_corr!AH18*10)</f>
        <v>0</v>
      </c>
      <c r="AI15">
        <f>INT(var_corr!AI18*10)</f>
        <v>0</v>
      </c>
      <c r="AJ15">
        <f>INT(var_corr!AJ18*10)</f>
        <v>0</v>
      </c>
      <c r="AK15">
        <f>INT(var_corr!AK18*10)</f>
        <v>0</v>
      </c>
      <c r="AL15">
        <f>INT(var_corr!AL18*10)</f>
        <v>-1</v>
      </c>
      <c r="AM15">
        <f>INT(var_corr!AM18*10)</f>
        <v>0</v>
      </c>
      <c r="AN15">
        <f>INT(var_corr!AN18*10)</f>
        <v>0</v>
      </c>
      <c r="AO15">
        <f>INT(var_corr!AO18*10)</f>
        <v>-1</v>
      </c>
      <c r="AP15">
        <f>INT(var_corr!AP18*10)</f>
        <v>0</v>
      </c>
    </row>
    <row r="16" spans="1:42" x14ac:dyDescent="0.15">
      <c r="A16" t="str">
        <f>var_corr!A19</f>
        <v>CORR</v>
      </c>
      <c r="B16" t="str">
        <f>var_corr!B19</f>
        <v>HIS_DUESEQ_woe</v>
      </c>
      <c r="C16">
        <f>INT(var_corr!C19*10)</f>
        <v>0</v>
      </c>
      <c r="D16">
        <f>INT(var_corr!D19*10)</f>
        <v>-3</v>
      </c>
      <c r="E16">
        <f>INT(var_corr!E19*10)</f>
        <v>0</v>
      </c>
      <c r="F16">
        <f>INT(var_corr!F19*10)</f>
        <v>-2</v>
      </c>
      <c r="G16">
        <f>INT(var_corr!G19*10)</f>
        <v>0</v>
      </c>
      <c r="H16">
        <f>INT(var_corr!H19*10)</f>
        <v>-1</v>
      </c>
      <c r="I16">
        <f>INT(var_corr!I19*10)</f>
        <v>-1</v>
      </c>
      <c r="J16">
        <f>INT(var_corr!J19*10)</f>
        <v>-2</v>
      </c>
      <c r="K16">
        <f>INT(var_corr!K19*10)</f>
        <v>-1</v>
      </c>
      <c r="L16">
        <f>INT(var_corr!L19*10)</f>
        <v>0</v>
      </c>
      <c r="M16">
        <f>INT(var_corr!M19*10)</f>
        <v>-1</v>
      </c>
      <c r="N16">
        <f>INT(var_corr!N19*10)</f>
        <v>-1</v>
      </c>
      <c r="O16">
        <f>INT(var_corr!O19*10)</f>
        <v>0</v>
      </c>
      <c r="P16">
        <f>INT(var_corr!P19*10)</f>
        <v>0</v>
      </c>
      <c r="Q16">
        <f>INT(var_corr!Q19*10)</f>
        <v>10</v>
      </c>
      <c r="R16">
        <f>INT(var_corr!R19*10)</f>
        <v>5</v>
      </c>
      <c r="S16">
        <f>INT(var_corr!S19*10)</f>
        <v>7</v>
      </c>
      <c r="T16">
        <f>INT(var_corr!T19*10)</f>
        <v>3</v>
      </c>
      <c r="U16">
        <f>INT(var_corr!U19*10)</f>
        <v>-3</v>
      </c>
      <c r="V16">
        <f>INT(var_corr!V19*10)</f>
        <v>-1</v>
      </c>
      <c r="W16">
        <f>INT(var_corr!W19*10)</f>
        <v>0</v>
      </c>
      <c r="X16">
        <f>INT(var_corr!X19*10)</f>
        <v>0</v>
      </c>
      <c r="Y16">
        <f>INT(var_corr!Y19*10)</f>
        <v>-5</v>
      </c>
      <c r="Z16">
        <f>INT(var_corr!Z19*10)</f>
        <v>5</v>
      </c>
      <c r="AA16">
        <f>INT(var_corr!AA19*10)</f>
        <v>2</v>
      </c>
      <c r="AB16">
        <f>INT(var_corr!AB19*10)</f>
        <v>3</v>
      </c>
      <c r="AC16">
        <f>INT(var_corr!AC19*10)</f>
        <v>-1</v>
      </c>
      <c r="AD16">
        <f>INT(var_corr!AD19*10)</f>
        <v>4</v>
      </c>
      <c r="AE16">
        <f>INT(var_corr!AE19*10)</f>
        <v>2</v>
      </c>
      <c r="AF16">
        <f>INT(var_corr!AF19*10)</f>
        <v>3</v>
      </c>
      <c r="AG16">
        <f>INT(var_corr!AG19*10)</f>
        <v>4</v>
      </c>
      <c r="AH16">
        <f>INT(var_corr!AH19*10)</f>
        <v>-1</v>
      </c>
      <c r="AI16">
        <f>INT(var_corr!AI19*10)</f>
        <v>4</v>
      </c>
      <c r="AJ16">
        <f>INT(var_corr!AJ19*10)</f>
        <v>4</v>
      </c>
      <c r="AK16">
        <f>INT(var_corr!AK19*10)</f>
        <v>4</v>
      </c>
      <c r="AL16">
        <f>INT(var_corr!AL19*10)</f>
        <v>-5</v>
      </c>
      <c r="AM16">
        <f>INT(var_corr!AM19*10)</f>
        <v>1</v>
      </c>
      <c r="AN16">
        <f>INT(var_corr!AN19*10)</f>
        <v>-1</v>
      </c>
      <c r="AO16">
        <f>INT(var_corr!AO19*10)</f>
        <v>-1</v>
      </c>
      <c r="AP16">
        <f>INT(var_corr!AP19*10)</f>
        <v>0</v>
      </c>
    </row>
    <row r="17" spans="1:42" x14ac:dyDescent="0.15">
      <c r="A17" t="str">
        <f>var_corr!A20</f>
        <v>CORR</v>
      </c>
      <c r="B17" t="str">
        <f>var_corr!B20</f>
        <v>CON5_DUE_TIMES_woe</v>
      </c>
      <c r="C17">
        <f>INT(var_corr!C20*10)</f>
        <v>1</v>
      </c>
      <c r="D17">
        <f>INT(var_corr!D20*10)</f>
        <v>0</v>
      </c>
      <c r="E17">
        <f>INT(var_corr!E20*10)</f>
        <v>0</v>
      </c>
      <c r="F17">
        <f>INT(var_corr!F20*10)</f>
        <v>0</v>
      </c>
      <c r="G17">
        <f>INT(var_corr!G20*10)</f>
        <v>0</v>
      </c>
      <c r="H17">
        <f>INT(var_corr!H20*10)</f>
        <v>0</v>
      </c>
      <c r="I17">
        <f>INT(var_corr!I20*10)</f>
        <v>-1</v>
      </c>
      <c r="J17">
        <f>INT(var_corr!J20*10)</f>
        <v>-1</v>
      </c>
      <c r="K17">
        <f>INT(var_corr!K20*10)</f>
        <v>1</v>
      </c>
      <c r="L17">
        <f>INT(var_corr!L20*10)</f>
        <v>0</v>
      </c>
      <c r="M17">
        <f>INT(var_corr!M20*10)</f>
        <v>0</v>
      </c>
      <c r="N17">
        <f>INT(var_corr!N20*10)</f>
        <v>-1</v>
      </c>
      <c r="O17">
        <f>INT(var_corr!O20*10)</f>
        <v>0</v>
      </c>
      <c r="P17">
        <f>INT(var_corr!P20*10)</f>
        <v>0</v>
      </c>
      <c r="Q17">
        <f>INT(var_corr!Q20*10)</f>
        <v>5</v>
      </c>
      <c r="R17">
        <f>INT(var_corr!R20*10)</f>
        <v>10</v>
      </c>
      <c r="S17">
        <f>INT(var_corr!S20*10)</f>
        <v>6</v>
      </c>
      <c r="T17">
        <f>INT(var_corr!T20*10)</f>
        <v>0</v>
      </c>
      <c r="U17">
        <f>INT(var_corr!U20*10)</f>
        <v>-3</v>
      </c>
      <c r="V17">
        <f>INT(var_corr!V20*10)</f>
        <v>-1</v>
      </c>
      <c r="W17">
        <f>INT(var_corr!W20*10)</f>
        <v>0</v>
      </c>
      <c r="X17">
        <f>INT(var_corr!X20*10)</f>
        <v>0</v>
      </c>
      <c r="Y17">
        <f>INT(var_corr!Y20*10)</f>
        <v>-2</v>
      </c>
      <c r="Z17">
        <f>INT(var_corr!Z20*10)</f>
        <v>4</v>
      </c>
      <c r="AA17">
        <f>INT(var_corr!AA20*10)</f>
        <v>0</v>
      </c>
      <c r="AB17">
        <f>INT(var_corr!AB20*10)</f>
        <v>0</v>
      </c>
      <c r="AC17">
        <f>INT(var_corr!AC20*10)</f>
        <v>1</v>
      </c>
      <c r="AD17">
        <f>INT(var_corr!AD20*10)</f>
        <v>5</v>
      </c>
      <c r="AE17">
        <f>INT(var_corr!AE20*10)</f>
        <v>2</v>
      </c>
      <c r="AF17">
        <f>INT(var_corr!AF20*10)</f>
        <v>6</v>
      </c>
      <c r="AG17">
        <f>INT(var_corr!AG20*10)</f>
        <v>5</v>
      </c>
      <c r="AH17">
        <f>INT(var_corr!AH20*10)</f>
        <v>0</v>
      </c>
      <c r="AI17">
        <f>INT(var_corr!AI20*10)</f>
        <v>5</v>
      </c>
      <c r="AJ17">
        <f>INT(var_corr!AJ20*10)</f>
        <v>2</v>
      </c>
      <c r="AK17">
        <f>INT(var_corr!AK20*10)</f>
        <v>5</v>
      </c>
      <c r="AL17">
        <f>INT(var_corr!AL20*10)</f>
        <v>-3</v>
      </c>
      <c r="AM17">
        <f>INT(var_corr!AM20*10)</f>
        <v>0</v>
      </c>
      <c r="AN17">
        <f>INT(var_corr!AN20*10)</f>
        <v>0</v>
      </c>
      <c r="AO17">
        <f>INT(var_corr!AO20*10)</f>
        <v>0</v>
      </c>
      <c r="AP17">
        <f>INT(var_corr!AP20*10)</f>
        <v>0</v>
      </c>
    </row>
    <row r="18" spans="1:42" x14ac:dyDescent="0.15">
      <c r="A18" t="str">
        <f>var_corr!A21</f>
        <v>CORR</v>
      </c>
      <c r="B18" t="str">
        <f>var_corr!B21</f>
        <v>MAX_CONDUE1_woe</v>
      </c>
      <c r="C18">
        <f>INT(var_corr!C21*10)</f>
        <v>0</v>
      </c>
      <c r="D18">
        <f>INT(var_corr!D21*10)</f>
        <v>0</v>
      </c>
      <c r="E18">
        <f>INT(var_corr!E21*10)</f>
        <v>0</v>
      </c>
      <c r="F18">
        <f>INT(var_corr!F21*10)</f>
        <v>0</v>
      </c>
      <c r="G18">
        <f>INT(var_corr!G21*10)</f>
        <v>0</v>
      </c>
      <c r="H18">
        <f>INT(var_corr!H21*10)</f>
        <v>0</v>
      </c>
      <c r="I18">
        <f>INT(var_corr!I21*10)</f>
        <v>-1</v>
      </c>
      <c r="J18">
        <f>INT(var_corr!J21*10)</f>
        <v>-1</v>
      </c>
      <c r="K18">
        <f>INT(var_corr!K21*10)</f>
        <v>0</v>
      </c>
      <c r="L18">
        <f>INT(var_corr!L21*10)</f>
        <v>0</v>
      </c>
      <c r="M18">
        <f>INT(var_corr!M21*10)</f>
        <v>0</v>
      </c>
      <c r="N18">
        <f>INT(var_corr!N21*10)</f>
        <v>-1</v>
      </c>
      <c r="O18">
        <f>INT(var_corr!O21*10)</f>
        <v>0</v>
      </c>
      <c r="P18">
        <f>INT(var_corr!P21*10)</f>
        <v>0</v>
      </c>
      <c r="Q18">
        <f>INT(var_corr!Q21*10)</f>
        <v>7</v>
      </c>
      <c r="R18">
        <f>INT(var_corr!R21*10)</f>
        <v>6</v>
      </c>
      <c r="S18">
        <f>INT(var_corr!S21*10)</f>
        <v>10</v>
      </c>
      <c r="T18">
        <f>INT(var_corr!T21*10)</f>
        <v>1</v>
      </c>
      <c r="U18">
        <f>INT(var_corr!U21*10)</f>
        <v>-3</v>
      </c>
      <c r="V18">
        <f>INT(var_corr!V21*10)</f>
        <v>-1</v>
      </c>
      <c r="W18">
        <f>INT(var_corr!W21*10)</f>
        <v>0</v>
      </c>
      <c r="X18">
        <f>INT(var_corr!X21*10)</f>
        <v>0</v>
      </c>
      <c r="Y18">
        <f>INT(var_corr!Y21*10)</f>
        <v>-3</v>
      </c>
      <c r="Z18">
        <f>INT(var_corr!Z21*10)</f>
        <v>5</v>
      </c>
      <c r="AA18">
        <f>INT(var_corr!AA21*10)</f>
        <v>0</v>
      </c>
      <c r="AB18">
        <f>INT(var_corr!AB21*10)</f>
        <v>1</v>
      </c>
      <c r="AC18">
        <f>INT(var_corr!AC21*10)</f>
        <v>0</v>
      </c>
      <c r="AD18">
        <f>INT(var_corr!AD21*10)</f>
        <v>4</v>
      </c>
      <c r="AE18">
        <f>INT(var_corr!AE21*10)</f>
        <v>4</v>
      </c>
      <c r="AF18">
        <f>INT(var_corr!AF21*10)</f>
        <v>4</v>
      </c>
      <c r="AG18">
        <f>INT(var_corr!AG21*10)</f>
        <v>4</v>
      </c>
      <c r="AH18">
        <f>INT(var_corr!AH21*10)</f>
        <v>0</v>
      </c>
      <c r="AI18">
        <f>INT(var_corr!AI21*10)</f>
        <v>4</v>
      </c>
      <c r="AJ18">
        <f>INT(var_corr!AJ21*10)</f>
        <v>2</v>
      </c>
      <c r="AK18">
        <f>INT(var_corr!AK21*10)</f>
        <v>4</v>
      </c>
      <c r="AL18">
        <f>INT(var_corr!AL21*10)</f>
        <v>-3</v>
      </c>
      <c r="AM18">
        <f>INT(var_corr!AM21*10)</f>
        <v>1</v>
      </c>
      <c r="AN18">
        <f>INT(var_corr!AN21*10)</f>
        <v>-1</v>
      </c>
      <c r="AO18">
        <f>INT(var_corr!AO21*10)</f>
        <v>0</v>
      </c>
      <c r="AP18">
        <f>INT(var_corr!AP21*10)</f>
        <v>0</v>
      </c>
    </row>
    <row r="19" spans="1:42" x14ac:dyDescent="0.15">
      <c r="A19" t="str">
        <f>var_corr!A22</f>
        <v>CORR</v>
      </c>
      <c r="B19" t="str">
        <f>var_corr!B22</f>
        <v>APR_COUNT_woe</v>
      </c>
      <c r="C19">
        <f>INT(var_corr!C22*10)</f>
        <v>-1</v>
      </c>
      <c r="D19">
        <f>INT(var_corr!D22*10)</f>
        <v>-4</v>
      </c>
      <c r="E19">
        <f>INT(var_corr!E22*10)</f>
        <v>-1</v>
      </c>
      <c r="F19">
        <f>INT(var_corr!F22*10)</f>
        <v>-4</v>
      </c>
      <c r="G19">
        <f>INT(var_corr!G22*10)</f>
        <v>-1</v>
      </c>
      <c r="H19">
        <f>INT(var_corr!H22*10)</f>
        <v>-1</v>
      </c>
      <c r="I19">
        <f>INT(var_corr!I22*10)</f>
        <v>-1</v>
      </c>
      <c r="J19">
        <f>INT(var_corr!J22*10)</f>
        <v>-3</v>
      </c>
      <c r="K19">
        <f>INT(var_corr!K22*10)</f>
        <v>-1</v>
      </c>
      <c r="L19">
        <f>INT(var_corr!L22*10)</f>
        <v>-1</v>
      </c>
      <c r="M19">
        <f>INT(var_corr!M22*10)</f>
        <v>-1</v>
      </c>
      <c r="N19">
        <f>INT(var_corr!N22*10)</f>
        <v>-1</v>
      </c>
      <c r="O19">
        <f>INT(var_corr!O22*10)</f>
        <v>0</v>
      </c>
      <c r="P19">
        <f>INT(var_corr!P22*10)</f>
        <v>-1</v>
      </c>
      <c r="Q19">
        <f>INT(var_corr!Q22*10)</f>
        <v>3</v>
      </c>
      <c r="R19">
        <f>INT(var_corr!R22*10)</f>
        <v>0</v>
      </c>
      <c r="S19">
        <f>INT(var_corr!S22*10)</f>
        <v>1</v>
      </c>
      <c r="T19">
        <f>INT(var_corr!T22*10)</f>
        <v>10</v>
      </c>
      <c r="U19">
        <f>INT(var_corr!U22*10)</f>
        <v>-1</v>
      </c>
      <c r="V19">
        <f>INT(var_corr!V22*10)</f>
        <v>-1</v>
      </c>
      <c r="W19">
        <f>INT(var_corr!W22*10)</f>
        <v>-1</v>
      </c>
      <c r="X19">
        <f>INT(var_corr!X22*10)</f>
        <v>0</v>
      </c>
      <c r="Y19">
        <f>INT(var_corr!Y22*10)</f>
        <v>-3</v>
      </c>
      <c r="Z19">
        <f>INT(var_corr!Z22*10)</f>
        <v>1</v>
      </c>
      <c r="AA19">
        <f>INT(var_corr!AA22*10)</f>
        <v>1</v>
      </c>
      <c r="AB19">
        <f>INT(var_corr!AB22*10)</f>
        <v>7</v>
      </c>
      <c r="AC19">
        <f>INT(var_corr!AC22*10)</f>
        <v>-1</v>
      </c>
      <c r="AD19">
        <f>INT(var_corr!AD22*10)</f>
        <v>0</v>
      </c>
      <c r="AE19">
        <f>INT(var_corr!AE22*10)</f>
        <v>0</v>
      </c>
      <c r="AF19">
        <f>INT(var_corr!AF22*10)</f>
        <v>0</v>
      </c>
      <c r="AG19">
        <f>INT(var_corr!AG22*10)</f>
        <v>1</v>
      </c>
      <c r="AH19">
        <f>INT(var_corr!AH22*10)</f>
        <v>-1</v>
      </c>
      <c r="AI19">
        <f>INT(var_corr!AI22*10)</f>
        <v>0</v>
      </c>
      <c r="AJ19">
        <f>INT(var_corr!AJ22*10)</f>
        <v>4</v>
      </c>
      <c r="AK19">
        <f>INT(var_corr!AK22*10)</f>
        <v>0</v>
      </c>
      <c r="AL19">
        <f>INT(var_corr!AL22*10)</f>
        <v>-3</v>
      </c>
      <c r="AM19">
        <f>INT(var_corr!AM22*10)</f>
        <v>0</v>
      </c>
      <c r="AN19">
        <f>INT(var_corr!AN22*10)</f>
        <v>-1</v>
      </c>
      <c r="AO19">
        <f>INT(var_corr!AO22*10)</f>
        <v>-1</v>
      </c>
      <c r="AP19">
        <f>INT(var_corr!AP22*10)</f>
        <v>0</v>
      </c>
    </row>
    <row r="20" spans="1:42" x14ac:dyDescent="0.15">
      <c r="A20" t="str">
        <f>var_corr!A23</f>
        <v>CORR</v>
      </c>
      <c r="B20" t="str">
        <f>var_corr!B23</f>
        <v>DUE_CONTACT_RATIO_woe</v>
      </c>
      <c r="C20">
        <f>INT(var_corr!C23*10)</f>
        <v>1</v>
      </c>
      <c r="D20">
        <f>INT(var_corr!D23*10)</f>
        <v>0</v>
      </c>
      <c r="E20">
        <f>INT(var_corr!E23*10)</f>
        <v>0</v>
      </c>
      <c r="F20">
        <f>INT(var_corr!F23*10)</f>
        <v>-1</v>
      </c>
      <c r="G20">
        <f>INT(var_corr!G23*10)</f>
        <v>-1</v>
      </c>
      <c r="H20">
        <f>INT(var_corr!H23*10)</f>
        <v>3</v>
      </c>
      <c r="I20">
        <f>INT(var_corr!I23*10)</f>
        <v>0</v>
      </c>
      <c r="J20">
        <f>INT(var_corr!J23*10)</f>
        <v>0</v>
      </c>
      <c r="K20">
        <f>INT(var_corr!K23*10)</f>
        <v>2</v>
      </c>
      <c r="L20">
        <f>INT(var_corr!L23*10)</f>
        <v>0</v>
      </c>
      <c r="M20">
        <f>INT(var_corr!M23*10)</f>
        <v>0</v>
      </c>
      <c r="N20">
        <f>INT(var_corr!N23*10)</f>
        <v>0</v>
      </c>
      <c r="O20">
        <f>INT(var_corr!O23*10)</f>
        <v>-1</v>
      </c>
      <c r="P20">
        <f>INT(var_corr!P23*10)</f>
        <v>-1</v>
      </c>
      <c r="Q20">
        <f>INT(var_corr!Q23*10)</f>
        <v>-3</v>
      </c>
      <c r="R20">
        <f>INT(var_corr!R23*10)</f>
        <v>-3</v>
      </c>
      <c r="S20">
        <f>INT(var_corr!S23*10)</f>
        <v>-3</v>
      </c>
      <c r="T20">
        <f>INT(var_corr!T23*10)</f>
        <v>-1</v>
      </c>
      <c r="U20">
        <f>INT(var_corr!U23*10)</f>
        <v>10</v>
      </c>
      <c r="V20">
        <f>INT(var_corr!V23*10)</f>
        <v>0</v>
      </c>
      <c r="W20">
        <f>INT(var_corr!W23*10)</f>
        <v>0</v>
      </c>
      <c r="X20">
        <f>INT(var_corr!X23*10)</f>
        <v>-1</v>
      </c>
      <c r="Y20">
        <f>INT(var_corr!Y23*10)</f>
        <v>0</v>
      </c>
      <c r="Z20">
        <f>INT(var_corr!Z23*10)</f>
        <v>-3</v>
      </c>
      <c r="AA20">
        <f>INT(var_corr!AA23*10)</f>
        <v>-1</v>
      </c>
      <c r="AB20">
        <f>INT(var_corr!AB23*10)</f>
        <v>-1</v>
      </c>
      <c r="AC20">
        <f>INT(var_corr!AC23*10)</f>
        <v>2</v>
      </c>
      <c r="AD20">
        <f>INT(var_corr!AD23*10)</f>
        <v>-2</v>
      </c>
      <c r="AE20">
        <f>INT(var_corr!AE23*10)</f>
        <v>-3</v>
      </c>
      <c r="AF20">
        <f>INT(var_corr!AF23*10)</f>
        <v>-2</v>
      </c>
      <c r="AG20">
        <f>INT(var_corr!AG23*10)</f>
        <v>-2</v>
      </c>
      <c r="AH20">
        <f>INT(var_corr!AH23*10)</f>
        <v>0</v>
      </c>
      <c r="AI20">
        <f>INT(var_corr!AI23*10)</f>
        <v>-3</v>
      </c>
      <c r="AJ20">
        <f>INT(var_corr!AJ23*10)</f>
        <v>-2</v>
      </c>
      <c r="AK20">
        <f>INT(var_corr!AK23*10)</f>
        <v>-2</v>
      </c>
      <c r="AL20">
        <f>INT(var_corr!AL23*10)</f>
        <v>1</v>
      </c>
      <c r="AM20">
        <f>INT(var_corr!AM23*10)</f>
        <v>-1</v>
      </c>
      <c r="AN20">
        <f>INT(var_corr!AN23*10)</f>
        <v>0</v>
      </c>
      <c r="AO20">
        <f>INT(var_corr!AO23*10)</f>
        <v>0</v>
      </c>
      <c r="AP20">
        <f>INT(var_corr!AP23*10)</f>
        <v>0</v>
      </c>
    </row>
    <row r="21" spans="1:42" x14ac:dyDescent="0.15">
      <c r="A21" t="str">
        <f>var_corr!A24</f>
        <v>CORR</v>
      </c>
      <c r="B21" t="str">
        <f>var_corr!B24</f>
        <v>TOTAL_WK_EXP_woe</v>
      </c>
      <c r="C21">
        <f>INT(var_corr!C24*10)</f>
        <v>-1</v>
      </c>
      <c r="D21">
        <f>INT(var_corr!D24*10)</f>
        <v>0</v>
      </c>
      <c r="E21">
        <f>INT(var_corr!E24*10)</f>
        <v>0</v>
      </c>
      <c r="F21">
        <f>INT(var_corr!F24*10)</f>
        <v>0</v>
      </c>
      <c r="G21">
        <f>INT(var_corr!G24*10)</f>
        <v>0</v>
      </c>
      <c r="H21">
        <f>INT(var_corr!H24*10)</f>
        <v>-1</v>
      </c>
      <c r="I21">
        <f>INT(var_corr!I24*10)</f>
        <v>1</v>
      </c>
      <c r="J21">
        <f>INT(var_corr!J24*10)</f>
        <v>0</v>
      </c>
      <c r="K21">
        <f>INT(var_corr!K24*10)</f>
        <v>0</v>
      </c>
      <c r="L21">
        <f>INT(var_corr!L24*10)</f>
        <v>-3</v>
      </c>
      <c r="M21">
        <f>INT(var_corr!M24*10)</f>
        <v>-1</v>
      </c>
      <c r="N21">
        <f>INT(var_corr!N24*10)</f>
        <v>1</v>
      </c>
      <c r="O21">
        <f>INT(var_corr!O24*10)</f>
        <v>0</v>
      </c>
      <c r="P21">
        <f>INT(var_corr!P24*10)</f>
        <v>0</v>
      </c>
      <c r="Q21">
        <f>INT(var_corr!Q24*10)</f>
        <v>-1</v>
      </c>
      <c r="R21">
        <f>INT(var_corr!R24*10)</f>
        <v>-1</v>
      </c>
      <c r="S21">
        <f>INT(var_corr!S24*10)</f>
        <v>-1</v>
      </c>
      <c r="T21">
        <f>INT(var_corr!T24*10)</f>
        <v>-1</v>
      </c>
      <c r="U21">
        <f>INT(var_corr!U24*10)</f>
        <v>0</v>
      </c>
      <c r="V21">
        <f>INT(var_corr!V24*10)</f>
        <v>10</v>
      </c>
      <c r="W21">
        <f>INT(var_corr!W24*10)</f>
        <v>0</v>
      </c>
      <c r="X21">
        <f>INT(var_corr!X24*10)</f>
        <v>0</v>
      </c>
      <c r="Y21">
        <f>INT(var_corr!Y24*10)</f>
        <v>0</v>
      </c>
      <c r="Z21">
        <f>INT(var_corr!Z24*10)</f>
        <v>-1</v>
      </c>
      <c r="AA21">
        <f>INT(var_corr!AA24*10)</f>
        <v>0</v>
      </c>
      <c r="AB21">
        <f>INT(var_corr!AB24*10)</f>
        <v>-1</v>
      </c>
      <c r="AC21">
        <f>INT(var_corr!AC24*10)</f>
        <v>0</v>
      </c>
      <c r="AD21">
        <f>INT(var_corr!AD24*10)</f>
        <v>-1</v>
      </c>
      <c r="AE21">
        <f>INT(var_corr!AE24*10)</f>
        <v>-1</v>
      </c>
      <c r="AF21">
        <f>INT(var_corr!AF24*10)</f>
        <v>-1</v>
      </c>
      <c r="AG21">
        <f>INT(var_corr!AG24*10)</f>
        <v>-1</v>
      </c>
      <c r="AH21">
        <f>INT(var_corr!AH24*10)</f>
        <v>-1</v>
      </c>
      <c r="AI21">
        <f>INT(var_corr!AI24*10)</f>
        <v>-1</v>
      </c>
      <c r="AJ21">
        <f>INT(var_corr!AJ24*10)</f>
        <v>-1</v>
      </c>
      <c r="AK21">
        <f>INT(var_corr!AK24*10)</f>
        <v>-1</v>
      </c>
      <c r="AL21">
        <f>INT(var_corr!AL24*10)</f>
        <v>0</v>
      </c>
      <c r="AM21">
        <f>INT(var_corr!AM24*10)</f>
        <v>-1</v>
      </c>
      <c r="AN21">
        <f>INT(var_corr!AN24*10)</f>
        <v>0</v>
      </c>
      <c r="AO21">
        <f>INT(var_corr!AO24*10)</f>
        <v>0</v>
      </c>
      <c r="AP21">
        <f>INT(var_corr!AP24*10)</f>
        <v>-1</v>
      </c>
    </row>
    <row r="22" spans="1:42" x14ac:dyDescent="0.15">
      <c r="A22" t="str">
        <f>var_corr!A25</f>
        <v>CORR</v>
      </c>
      <c r="B22" t="str">
        <f>var_corr!B25</f>
        <v>CERT_4_INITAL_woe</v>
      </c>
      <c r="C22">
        <f>INT(var_corr!C25*10)</f>
        <v>0</v>
      </c>
      <c r="D22">
        <f>INT(var_corr!D25*10)</f>
        <v>-1</v>
      </c>
      <c r="E22" s="1">
        <f>INT(var_corr!E25*10)</f>
        <v>6</v>
      </c>
      <c r="F22">
        <f>INT(var_corr!F25*10)</f>
        <v>-1</v>
      </c>
      <c r="G22">
        <f>INT(var_corr!G25*10)</f>
        <v>0</v>
      </c>
      <c r="H22">
        <f>INT(var_corr!H25*10)</f>
        <v>0</v>
      </c>
      <c r="I22">
        <f>INT(var_corr!I25*10)</f>
        <v>0</v>
      </c>
      <c r="J22">
        <f>INT(var_corr!J25*10)</f>
        <v>-1</v>
      </c>
      <c r="K22">
        <f>INT(var_corr!K25*10)</f>
        <v>0</v>
      </c>
      <c r="L22">
        <f>INT(var_corr!L25*10)</f>
        <v>0</v>
      </c>
      <c r="M22">
        <f>INT(var_corr!M25*10)</f>
        <v>0</v>
      </c>
      <c r="N22">
        <f>INT(var_corr!N25*10)</f>
        <v>0</v>
      </c>
      <c r="O22">
        <f>INT(var_corr!O25*10)</f>
        <v>-1</v>
      </c>
      <c r="P22">
        <f>INT(var_corr!P25*10)</f>
        <v>-1</v>
      </c>
      <c r="Q22">
        <f>INT(var_corr!Q25*10)</f>
        <v>0</v>
      </c>
      <c r="R22">
        <f>INT(var_corr!R25*10)</f>
        <v>0</v>
      </c>
      <c r="S22">
        <f>INT(var_corr!S25*10)</f>
        <v>0</v>
      </c>
      <c r="T22">
        <f>INT(var_corr!T25*10)</f>
        <v>-1</v>
      </c>
      <c r="U22">
        <f>INT(var_corr!U25*10)</f>
        <v>0</v>
      </c>
      <c r="V22">
        <f>INT(var_corr!V25*10)</f>
        <v>0</v>
      </c>
      <c r="W22">
        <f>INT(var_corr!W25*10)</f>
        <v>10</v>
      </c>
      <c r="X22">
        <f>INT(var_corr!X25*10)</f>
        <v>0</v>
      </c>
      <c r="Y22">
        <f>INT(var_corr!Y25*10)</f>
        <v>0</v>
      </c>
      <c r="Z22">
        <f>INT(var_corr!Z25*10)</f>
        <v>0</v>
      </c>
      <c r="AA22">
        <f>INT(var_corr!AA25*10)</f>
        <v>-1</v>
      </c>
      <c r="AB22">
        <f>INT(var_corr!AB25*10)</f>
        <v>-1</v>
      </c>
      <c r="AC22">
        <f>INT(var_corr!AC25*10)</f>
        <v>0</v>
      </c>
      <c r="AD22">
        <f>INT(var_corr!AD25*10)</f>
        <v>0</v>
      </c>
      <c r="AE22">
        <f>INT(var_corr!AE25*10)</f>
        <v>0</v>
      </c>
      <c r="AF22">
        <f>INT(var_corr!AF25*10)</f>
        <v>0</v>
      </c>
      <c r="AG22">
        <f>INT(var_corr!AG25*10)</f>
        <v>0</v>
      </c>
      <c r="AH22">
        <f>INT(var_corr!AH25*10)</f>
        <v>0</v>
      </c>
      <c r="AI22">
        <f>INT(var_corr!AI25*10)</f>
        <v>0</v>
      </c>
      <c r="AJ22">
        <f>INT(var_corr!AJ25*10)</f>
        <v>0</v>
      </c>
      <c r="AK22">
        <f>INT(var_corr!AK25*10)</f>
        <v>0</v>
      </c>
      <c r="AL22">
        <f>INT(var_corr!AL25*10)</f>
        <v>0</v>
      </c>
      <c r="AM22">
        <f>INT(var_corr!AM25*10)</f>
        <v>0</v>
      </c>
      <c r="AN22">
        <f>INT(var_corr!AN25*10)</f>
        <v>0</v>
      </c>
      <c r="AO22">
        <f>INT(var_corr!AO25*10)</f>
        <v>0</v>
      </c>
      <c r="AP22">
        <f>INT(var_corr!AP25*10)</f>
        <v>0</v>
      </c>
    </row>
    <row r="23" spans="1:42" x14ac:dyDescent="0.15">
      <c r="A23" t="str">
        <f>var_corr!A26</f>
        <v>CORR</v>
      </c>
      <c r="B23" t="str">
        <f>var_corr!B26</f>
        <v>EXTRA_INIT_RATE_woe</v>
      </c>
      <c r="C23">
        <f>INT(var_corr!C26*10)</f>
        <v>0</v>
      </c>
      <c r="D23">
        <f>INT(var_corr!D26*10)</f>
        <v>0</v>
      </c>
      <c r="E23">
        <f>INT(var_corr!E26*10)</f>
        <v>-1</v>
      </c>
      <c r="F23">
        <f>INT(var_corr!F26*10)</f>
        <v>0</v>
      </c>
      <c r="G23">
        <f>INT(var_corr!G26*10)</f>
        <v>-1</v>
      </c>
      <c r="H23">
        <f>INT(var_corr!H26*10)</f>
        <v>0</v>
      </c>
      <c r="I23">
        <f>INT(var_corr!I26*10)</f>
        <v>0</v>
      </c>
      <c r="J23">
        <f>INT(var_corr!J26*10)</f>
        <v>-1</v>
      </c>
      <c r="K23">
        <f>INT(var_corr!K26*10)</f>
        <v>0</v>
      </c>
      <c r="L23">
        <f>INT(var_corr!L26*10)</f>
        <v>-1</v>
      </c>
      <c r="M23">
        <f>INT(var_corr!M26*10)</f>
        <v>0</v>
      </c>
      <c r="N23">
        <f>INT(var_corr!N26*10)</f>
        <v>0</v>
      </c>
      <c r="O23">
        <f>INT(var_corr!O26*10)</f>
        <v>0</v>
      </c>
      <c r="P23">
        <f>INT(var_corr!P26*10)</f>
        <v>0</v>
      </c>
      <c r="Q23">
        <f>INT(var_corr!Q26*10)</f>
        <v>0</v>
      </c>
      <c r="R23">
        <f>INT(var_corr!R26*10)</f>
        <v>0</v>
      </c>
      <c r="S23">
        <f>INT(var_corr!S26*10)</f>
        <v>0</v>
      </c>
      <c r="T23">
        <f>INT(var_corr!T26*10)</f>
        <v>0</v>
      </c>
      <c r="U23">
        <f>INT(var_corr!U26*10)</f>
        <v>-1</v>
      </c>
      <c r="V23">
        <f>INT(var_corr!V26*10)</f>
        <v>0</v>
      </c>
      <c r="W23">
        <f>INT(var_corr!W26*10)</f>
        <v>0</v>
      </c>
      <c r="X23">
        <f>INT(var_corr!X26*10)</f>
        <v>10</v>
      </c>
      <c r="Y23">
        <f>INT(var_corr!Y26*10)</f>
        <v>-1</v>
      </c>
      <c r="Z23">
        <f>INT(var_corr!Z26*10)</f>
        <v>0</v>
      </c>
      <c r="AA23">
        <f>INT(var_corr!AA26*10)</f>
        <v>0</v>
      </c>
      <c r="AB23">
        <f>INT(var_corr!AB26*10)</f>
        <v>0</v>
      </c>
      <c r="AC23">
        <f>INT(var_corr!AC26*10)</f>
        <v>0</v>
      </c>
      <c r="AD23">
        <f>INT(var_corr!AD26*10)</f>
        <v>0</v>
      </c>
      <c r="AE23">
        <f>INT(var_corr!AE26*10)</f>
        <v>0</v>
      </c>
      <c r="AF23">
        <f>INT(var_corr!AF26*10)</f>
        <v>0</v>
      </c>
      <c r="AG23">
        <f>INT(var_corr!AG26*10)</f>
        <v>0</v>
      </c>
      <c r="AH23">
        <f>INT(var_corr!AH26*10)</f>
        <v>0</v>
      </c>
      <c r="AI23">
        <f>INT(var_corr!AI26*10)</f>
        <v>0</v>
      </c>
      <c r="AJ23">
        <f>INT(var_corr!AJ26*10)</f>
        <v>0</v>
      </c>
      <c r="AK23">
        <f>INT(var_corr!AK26*10)</f>
        <v>0</v>
      </c>
      <c r="AL23">
        <f>INT(var_corr!AL26*10)</f>
        <v>-1</v>
      </c>
      <c r="AM23">
        <f>INT(var_corr!AM26*10)</f>
        <v>-1</v>
      </c>
      <c r="AN23">
        <f>INT(var_corr!AN26*10)</f>
        <v>-1</v>
      </c>
      <c r="AO23">
        <f>INT(var_corr!AO26*10)</f>
        <v>-1</v>
      </c>
      <c r="AP23">
        <f>INT(var_corr!AP26*10)</f>
        <v>0</v>
      </c>
    </row>
    <row r="24" spans="1:42" x14ac:dyDescent="0.15">
      <c r="A24" t="str">
        <f>var_corr!A27</f>
        <v>CORR</v>
      </c>
      <c r="B24" t="str">
        <f>var_corr!B27</f>
        <v>ACTUALPAYPRINCIPLE_woe</v>
      </c>
      <c r="C24">
        <f>INT(var_corr!C27*10)</f>
        <v>0</v>
      </c>
      <c r="D24">
        <f>INT(var_corr!D27*10)</f>
        <v>3</v>
      </c>
      <c r="E24">
        <f>INT(var_corr!E27*10)</f>
        <v>0</v>
      </c>
      <c r="F24">
        <f>INT(var_corr!F27*10)</f>
        <v>3</v>
      </c>
      <c r="G24">
        <f>INT(var_corr!G27*10)</f>
        <v>0</v>
      </c>
      <c r="H24">
        <f>INT(var_corr!H27*10)</f>
        <v>0</v>
      </c>
      <c r="I24">
        <f>INT(var_corr!I27*10)</f>
        <v>0</v>
      </c>
      <c r="J24">
        <f>INT(var_corr!J27*10)</f>
        <v>0</v>
      </c>
      <c r="K24">
        <f>INT(var_corr!K27*10)</f>
        <v>0</v>
      </c>
      <c r="L24">
        <f>INT(var_corr!L27*10)</f>
        <v>-1</v>
      </c>
      <c r="M24">
        <f>INT(var_corr!M27*10)</f>
        <v>1</v>
      </c>
      <c r="N24">
        <f>INT(var_corr!N27*10)</f>
        <v>0</v>
      </c>
      <c r="O24">
        <f>INT(var_corr!O27*10)</f>
        <v>-1</v>
      </c>
      <c r="P24">
        <f>INT(var_corr!P27*10)</f>
        <v>-1</v>
      </c>
      <c r="Q24">
        <f>INT(var_corr!Q27*10)</f>
        <v>-5</v>
      </c>
      <c r="R24">
        <f>INT(var_corr!R27*10)</f>
        <v>-2</v>
      </c>
      <c r="S24">
        <f>INT(var_corr!S27*10)</f>
        <v>-3</v>
      </c>
      <c r="T24">
        <f>INT(var_corr!T27*10)</f>
        <v>-3</v>
      </c>
      <c r="U24">
        <f>INT(var_corr!U27*10)</f>
        <v>0</v>
      </c>
      <c r="V24">
        <f>INT(var_corr!V27*10)</f>
        <v>0</v>
      </c>
      <c r="W24">
        <f>INT(var_corr!W27*10)</f>
        <v>0</v>
      </c>
      <c r="X24">
        <f>INT(var_corr!X27*10)</f>
        <v>-1</v>
      </c>
      <c r="Y24">
        <f>INT(var_corr!Y27*10)</f>
        <v>10</v>
      </c>
      <c r="Z24">
        <f>INT(var_corr!Z27*10)</f>
        <v>-3</v>
      </c>
      <c r="AA24">
        <f>INT(var_corr!AA27*10)</f>
        <v>-3</v>
      </c>
      <c r="AB24">
        <f>INT(var_corr!AB27*10)</f>
        <v>-4</v>
      </c>
      <c r="AC24">
        <f>INT(var_corr!AC27*10)</f>
        <v>0</v>
      </c>
      <c r="AD24">
        <f>INT(var_corr!AD27*10)</f>
        <v>-2</v>
      </c>
      <c r="AE24">
        <f>INT(var_corr!AE27*10)</f>
        <v>-1</v>
      </c>
      <c r="AF24">
        <f>INT(var_corr!AF27*10)</f>
        <v>-2</v>
      </c>
      <c r="AG24">
        <f>INT(var_corr!AG27*10)</f>
        <v>-3</v>
      </c>
      <c r="AH24">
        <f>INT(var_corr!AH27*10)</f>
        <v>0</v>
      </c>
      <c r="AI24">
        <f>INT(var_corr!AI27*10)</f>
        <v>-2</v>
      </c>
      <c r="AJ24">
        <f>INT(var_corr!AJ27*10)</f>
        <v>-5</v>
      </c>
      <c r="AK24">
        <f>INT(var_corr!AK27*10)</f>
        <v>-2</v>
      </c>
      <c r="AL24">
        <f>INT(var_corr!AL27*10)</f>
        <v>3</v>
      </c>
      <c r="AM24">
        <f>INT(var_corr!AM27*10)</f>
        <v>-2</v>
      </c>
      <c r="AN24">
        <f>INT(var_corr!AN27*10)</f>
        <v>0</v>
      </c>
      <c r="AO24">
        <f>INT(var_corr!AO27*10)</f>
        <v>0</v>
      </c>
      <c r="AP24">
        <f>INT(var_corr!AP27*10)</f>
        <v>0</v>
      </c>
    </row>
    <row r="25" spans="1:42" x14ac:dyDescent="0.15">
      <c r="A25" t="str">
        <f>var_corr!A28</f>
        <v>CORR</v>
      </c>
      <c r="B25" t="str">
        <f>var_corr!B28</f>
        <v>CSFQ_woe</v>
      </c>
      <c r="C25">
        <f>INT(var_corr!C28*10)</f>
        <v>0</v>
      </c>
      <c r="D25">
        <f>INT(var_corr!D28*10)</f>
        <v>-1</v>
      </c>
      <c r="E25">
        <f>INT(var_corr!E28*10)</f>
        <v>0</v>
      </c>
      <c r="F25">
        <f>INT(var_corr!F28*10)</f>
        <v>-1</v>
      </c>
      <c r="G25">
        <f>INT(var_corr!G28*10)</f>
        <v>0</v>
      </c>
      <c r="H25">
        <f>INT(var_corr!H28*10)</f>
        <v>0</v>
      </c>
      <c r="I25">
        <f>INT(var_corr!I28*10)</f>
        <v>-1</v>
      </c>
      <c r="J25">
        <f>INT(var_corr!J28*10)</f>
        <v>-1</v>
      </c>
      <c r="K25">
        <f>INT(var_corr!K28*10)</f>
        <v>0</v>
      </c>
      <c r="L25">
        <f>INT(var_corr!L28*10)</f>
        <v>0</v>
      </c>
      <c r="M25">
        <f>INT(var_corr!M28*10)</f>
        <v>0</v>
      </c>
      <c r="N25">
        <f>INT(var_corr!N28*10)</f>
        <v>-1</v>
      </c>
      <c r="O25">
        <f>INT(var_corr!O28*10)</f>
        <v>0</v>
      </c>
      <c r="P25">
        <f>INT(var_corr!P28*10)</f>
        <v>0</v>
      </c>
      <c r="Q25">
        <f>INT(var_corr!Q28*10)</f>
        <v>5</v>
      </c>
      <c r="R25">
        <f>INT(var_corr!R28*10)</f>
        <v>4</v>
      </c>
      <c r="S25">
        <f>INT(var_corr!S28*10)</f>
        <v>5</v>
      </c>
      <c r="T25">
        <f>INT(var_corr!T28*10)</f>
        <v>1</v>
      </c>
      <c r="U25">
        <f>INT(var_corr!U28*10)</f>
        <v>-3</v>
      </c>
      <c r="V25">
        <f>INT(var_corr!V28*10)</f>
        <v>-1</v>
      </c>
      <c r="W25">
        <f>INT(var_corr!W28*10)</f>
        <v>0</v>
      </c>
      <c r="X25">
        <f>INT(var_corr!X28*10)</f>
        <v>0</v>
      </c>
      <c r="Y25">
        <f>INT(var_corr!Y28*10)</f>
        <v>-3</v>
      </c>
      <c r="Z25">
        <f>INT(var_corr!Z28*10)</f>
        <v>10</v>
      </c>
      <c r="AA25">
        <f>INT(var_corr!AA28*10)</f>
        <v>0</v>
      </c>
      <c r="AB25">
        <f>INT(var_corr!AB28*10)</f>
        <v>1</v>
      </c>
      <c r="AC25">
        <f>INT(var_corr!AC28*10)</f>
        <v>0</v>
      </c>
      <c r="AD25">
        <f>INT(var_corr!AD28*10)</f>
        <v>2</v>
      </c>
      <c r="AE25">
        <f>INT(var_corr!AE28*10)</f>
        <v>4</v>
      </c>
      <c r="AF25">
        <f>INT(var_corr!AF28*10)</f>
        <v>2</v>
      </c>
      <c r="AG25">
        <f>INT(var_corr!AG28*10)</f>
        <v>2</v>
      </c>
      <c r="AH25">
        <f>INT(var_corr!AH28*10)</f>
        <v>0</v>
      </c>
      <c r="AI25">
        <f>INT(var_corr!AI28*10)</f>
        <v>5</v>
      </c>
      <c r="AJ25">
        <f>INT(var_corr!AJ28*10)</f>
        <v>2</v>
      </c>
      <c r="AK25">
        <f>INT(var_corr!AK28*10)</f>
        <v>2</v>
      </c>
      <c r="AL25">
        <f>INT(var_corr!AL28*10)</f>
        <v>-3</v>
      </c>
      <c r="AM25">
        <f>INT(var_corr!AM28*10)</f>
        <v>0</v>
      </c>
      <c r="AN25">
        <f>INT(var_corr!AN28*10)</f>
        <v>-1</v>
      </c>
      <c r="AO25">
        <f>INT(var_corr!AO28*10)</f>
        <v>0</v>
      </c>
      <c r="AP25">
        <f>INT(var_corr!AP28*10)</f>
        <v>0</v>
      </c>
    </row>
    <row r="26" spans="1:42" x14ac:dyDescent="0.15">
      <c r="A26" t="str">
        <f>var_corr!A29</f>
        <v>CORR</v>
      </c>
      <c r="B26" t="str">
        <f>var_corr!B29</f>
        <v>APP_COUNT_woe</v>
      </c>
      <c r="C26">
        <f>INT(var_corr!C29*10)</f>
        <v>-1</v>
      </c>
      <c r="D26">
        <f>INT(var_corr!D29*10)</f>
        <v>-2</v>
      </c>
      <c r="E26">
        <f>INT(var_corr!E29*10)</f>
        <v>-1</v>
      </c>
      <c r="F26">
        <f>INT(var_corr!F29*10)</f>
        <v>-2</v>
      </c>
      <c r="G26">
        <f>INT(var_corr!G29*10)</f>
        <v>0</v>
      </c>
      <c r="H26">
        <f>INT(var_corr!H29*10)</f>
        <v>-1</v>
      </c>
      <c r="I26">
        <f>INT(var_corr!I29*10)</f>
        <v>-1</v>
      </c>
      <c r="J26">
        <f>INT(var_corr!J29*10)</f>
        <v>-1</v>
      </c>
      <c r="K26">
        <f>INT(var_corr!K29*10)</f>
        <v>-1</v>
      </c>
      <c r="L26">
        <f>INT(var_corr!L29*10)</f>
        <v>0</v>
      </c>
      <c r="M26">
        <f>INT(var_corr!M29*10)</f>
        <v>-1</v>
      </c>
      <c r="N26">
        <f>INT(var_corr!N29*10)</f>
        <v>-1</v>
      </c>
      <c r="O26">
        <f>INT(var_corr!O29*10)</f>
        <v>0</v>
      </c>
      <c r="P26">
        <f>INT(var_corr!P29*10)</f>
        <v>1</v>
      </c>
      <c r="Q26">
        <f>INT(var_corr!Q29*10)</f>
        <v>2</v>
      </c>
      <c r="R26">
        <f>INT(var_corr!R29*10)</f>
        <v>0</v>
      </c>
      <c r="S26">
        <f>INT(var_corr!S29*10)</f>
        <v>0</v>
      </c>
      <c r="T26">
        <f>INT(var_corr!T29*10)</f>
        <v>1</v>
      </c>
      <c r="U26">
        <f>INT(var_corr!U29*10)</f>
        <v>-1</v>
      </c>
      <c r="V26">
        <f>INT(var_corr!V29*10)</f>
        <v>0</v>
      </c>
      <c r="W26">
        <f>INT(var_corr!W29*10)</f>
        <v>-1</v>
      </c>
      <c r="X26">
        <f>INT(var_corr!X29*10)</f>
        <v>0</v>
      </c>
      <c r="Y26">
        <f>INT(var_corr!Y29*10)</f>
        <v>-3</v>
      </c>
      <c r="Z26">
        <f>INT(var_corr!Z29*10)</f>
        <v>0</v>
      </c>
      <c r="AA26">
        <f>INT(var_corr!AA29*10)</f>
        <v>10</v>
      </c>
      <c r="AB26">
        <f>INT(var_corr!AB29*10)</f>
        <v>2</v>
      </c>
      <c r="AC26">
        <f>INT(var_corr!AC29*10)</f>
        <v>-1</v>
      </c>
      <c r="AD26">
        <f>INT(var_corr!AD29*10)</f>
        <v>0</v>
      </c>
      <c r="AE26">
        <f>INT(var_corr!AE29*10)</f>
        <v>0</v>
      </c>
      <c r="AF26">
        <f>INT(var_corr!AF29*10)</f>
        <v>0</v>
      </c>
      <c r="AG26">
        <f>INT(var_corr!AG29*10)</f>
        <v>0</v>
      </c>
      <c r="AH26">
        <f>INT(var_corr!AH29*10)</f>
        <v>-1</v>
      </c>
      <c r="AI26">
        <f>INT(var_corr!AI29*10)</f>
        <v>0</v>
      </c>
      <c r="AJ26">
        <f>INT(var_corr!AJ29*10)</f>
        <v>2</v>
      </c>
      <c r="AK26">
        <f>INT(var_corr!AK29*10)</f>
        <v>0</v>
      </c>
      <c r="AL26">
        <f>INT(var_corr!AL29*10)</f>
        <v>-1</v>
      </c>
      <c r="AM26">
        <f>INT(var_corr!AM29*10)</f>
        <v>0</v>
      </c>
      <c r="AN26">
        <f>INT(var_corr!AN29*10)</f>
        <v>-1</v>
      </c>
      <c r="AO26">
        <f>INT(var_corr!AO29*10)</f>
        <v>-1</v>
      </c>
      <c r="AP26">
        <f>INT(var_corr!AP29*10)</f>
        <v>-1</v>
      </c>
    </row>
    <row r="27" spans="1:42" x14ac:dyDescent="0.15">
      <c r="A27" t="str">
        <f>var_corr!A30</f>
        <v>CORR</v>
      </c>
      <c r="B27" t="str">
        <f>var_corr!B30</f>
        <v>APR_CREDIT_AMOUNT_woe</v>
      </c>
      <c r="C27">
        <f>INT(var_corr!C30*10)</f>
        <v>-1</v>
      </c>
      <c r="D27">
        <f>INT(var_corr!D30*10)</f>
        <v>-4</v>
      </c>
      <c r="E27">
        <f>INT(var_corr!E30*10)</f>
        <v>-1</v>
      </c>
      <c r="F27">
        <f>INT(var_corr!F30*10)</f>
        <v>-3</v>
      </c>
      <c r="G27">
        <f>INT(var_corr!G30*10)</f>
        <v>-1</v>
      </c>
      <c r="H27">
        <f>INT(var_corr!H30*10)</f>
        <v>-1</v>
      </c>
      <c r="I27">
        <f>INT(var_corr!I30*10)</f>
        <v>-1</v>
      </c>
      <c r="J27">
        <f>INT(var_corr!J30*10)</f>
        <v>-3</v>
      </c>
      <c r="K27">
        <f>INT(var_corr!K30*10)</f>
        <v>-1</v>
      </c>
      <c r="L27">
        <f>INT(var_corr!L30*10)</f>
        <v>-1</v>
      </c>
      <c r="M27">
        <f>INT(var_corr!M30*10)</f>
        <v>-1</v>
      </c>
      <c r="N27">
        <f>INT(var_corr!N30*10)</f>
        <v>-1</v>
      </c>
      <c r="O27">
        <f>INT(var_corr!O30*10)</f>
        <v>0</v>
      </c>
      <c r="P27">
        <f>INT(var_corr!P30*10)</f>
        <v>-1</v>
      </c>
      <c r="Q27">
        <f>INT(var_corr!Q30*10)</f>
        <v>3</v>
      </c>
      <c r="R27">
        <f>INT(var_corr!R30*10)</f>
        <v>0</v>
      </c>
      <c r="S27">
        <f>INT(var_corr!S30*10)</f>
        <v>1</v>
      </c>
      <c r="T27">
        <f>INT(var_corr!T30*10)</f>
        <v>7</v>
      </c>
      <c r="U27">
        <f>INT(var_corr!U30*10)</f>
        <v>-1</v>
      </c>
      <c r="V27">
        <f>INT(var_corr!V30*10)</f>
        <v>-1</v>
      </c>
      <c r="W27">
        <f>INT(var_corr!W30*10)</f>
        <v>-1</v>
      </c>
      <c r="X27">
        <f>INT(var_corr!X30*10)</f>
        <v>0</v>
      </c>
      <c r="Y27">
        <f>INT(var_corr!Y30*10)</f>
        <v>-4</v>
      </c>
      <c r="Z27">
        <f>INT(var_corr!Z30*10)</f>
        <v>1</v>
      </c>
      <c r="AA27">
        <f>INT(var_corr!AA30*10)</f>
        <v>2</v>
      </c>
      <c r="AB27">
        <f>INT(var_corr!AB30*10)</f>
        <v>10</v>
      </c>
      <c r="AC27">
        <f>INT(var_corr!AC30*10)</f>
        <v>-1</v>
      </c>
      <c r="AD27">
        <f>INT(var_corr!AD30*10)</f>
        <v>1</v>
      </c>
      <c r="AE27">
        <f>INT(var_corr!AE30*10)</f>
        <v>0</v>
      </c>
      <c r="AF27">
        <f>INT(var_corr!AF30*10)</f>
        <v>0</v>
      </c>
      <c r="AG27">
        <f>INT(var_corr!AG30*10)</f>
        <v>1</v>
      </c>
      <c r="AH27">
        <f>INT(var_corr!AH30*10)</f>
        <v>-1</v>
      </c>
      <c r="AI27">
        <f>INT(var_corr!AI30*10)</f>
        <v>0</v>
      </c>
      <c r="AJ27">
        <f>INT(var_corr!AJ30*10)</f>
        <v>5</v>
      </c>
      <c r="AK27">
        <f>INT(var_corr!AK30*10)</f>
        <v>0</v>
      </c>
      <c r="AL27">
        <f>INT(var_corr!AL30*10)</f>
        <v>-2</v>
      </c>
      <c r="AM27">
        <f>INT(var_corr!AM30*10)</f>
        <v>2</v>
      </c>
      <c r="AN27">
        <f>INT(var_corr!AN30*10)</f>
        <v>-1</v>
      </c>
      <c r="AO27">
        <f>INT(var_corr!AO30*10)</f>
        <v>-1</v>
      </c>
      <c r="AP27">
        <f>INT(var_corr!AP30*10)</f>
        <v>-1</v>
      </c>
    </row>
    <row r="28" spans="1:42" x14ac:dyDescent="0.15">
      <c r="A28" t="str">
        <f>var_corr!A31</f>
        <v>CORR</v>
      </c>
      <c r="B28" t="str">
        <f>var_corr!B31</f>
        <v>KPTP_RATIO_woe</v>
      </c>
      <c r="C28">
        <f>INT(var_corr!C31*10)</f>
        <v>2</v>
      </c>
      <c r="D28">
        <f>INT(var_corr!D31*10)</f>
        <v>1</v>
      </c>
      <c r="E28">
        <f>INT(var_corr!E31*10)</f>
        <v>0</v>
      </c>
      <c r="F28">
        <f>INT(var_corr!F31*10)</f>
        <v>1</v>
      </c>
      <c r="G28">
        <f>INT(var_corr!G31*10)</f>
        <v>0</v>
      </c>
      <c r="H28">
        <f>INT(var_corr!H31*10)</f>
        <v>0</v>
      </c>
      <c r="I28">
        <f>INT(var_corr!I31*10)</f>
        <v>0</v>
      </c>
      <c r="J28">
        <f>INT(var_corr!J31*10)</f>
        <v>0</v>
      </c>
      <c r="K28">
        <f>INT(var_corr!K31*10)</f>
        <v>9</v>
      </c>
      <c r="L28">
        <f>INT(var_corr!L31*10)</f>
        <v>0</v>
      </c>
      <c r="M28">
        <f>INT(var_corr!M31*10)</f>
        <v>0</v>
      </c>
      <c r="N28">
        <f>INT(var_corr!N31*10)</f>
        <v>0</v>
      </c>
      <c r="O28">
        <f>INT(var_corr!O31*10)</f>
        <v>0</v>
      </c>
      <c r="P28">
        <f>INT(var_corr!P31*10)</f>
        <v>0</v>
      </c>
      <c r="Q28">
        <f>INT(var_corr!Q31*10)</f>
        <v>-1</v>
      </c>
      <c r="R28">
        <f>INT(var_corr!R31*10)</f>
        <v>1</v>
      </c>
      <c r="S28">
        <f>INT(var_corr!S31*10)</f>
        <v>0</v>
      </c>
      <c r="T28">
        <f>INT(var_corr!T31*10)</f>
        <v>-1</v>
      </c>
      <c r="U28">
        <f>INT(var_corr!U31*10)</f>
        <v>2</v>
      </c>
      <c r="V28">
        <f>INT(var_corr!V31*10)</f>
        <v>0</v>
      </c>
      <c r="W28">
        <f>INT(var_corr!W31*10)</f>
        <v>0</v>
      </c>
      <c r="X28">
        <f>INT(var_corr!X31*10)</f>
        <v>0</v>
      </c>
      <c r="Y28">
        <f>INT(var_corr!Y31*10)</f>
        <v>0</v>
      </c>
      <c r="Z28">
        <f>INT(var_corr!Z31*10)</f>
        <v>0</v>
      </c>
      <c r="AA28">
        <f>INT(var_corr!AA31*10)</f>
        <v>-1</v>
      </c>
      <c r="AB28">
        <f>INT(var_corr!AB31*10)</f>
        <v>-1</v>
      </c>
      <c r="AC28">
        <f>INT(var_corr!AC31*10)</f>
        <v>10</v>
      </c>
      <c r="AD28">
        <f>INT(var_corr!AD31*10)</f>
        <v>2</v>
      </c>
      <c r="AE28">
        <f>INT(var_corr!AE31*10)</f>
        <v>0</v>
      </c>
      <c r="AF28">
        <f>INT(var_corr!AF31*10)</f>
        <v>2</v>
      </c>
      <c r="AG28">
        <f>INT(var_corr!AG31*10)</f>
        <v>2</v>
      </c>
      <c r="AH28">
        <f>INT(var_corr!AH31*10)</f>
        <v>0</v>
      </c>
      <c r="AI28">
        <f>INT(var_corr!AI31*10)</f>
        <v>1</v>
      </c>
      <c r="AJ28">
        <f>INT(var_corr!AJ31*10)</f>
        <v>-1</v>
      </c>
      <c r="AK28">
        <f>INT(var_corr!AK31*10)</f>
        <v>2</v>
      </c>
      <c r="AL28">
        <f>INT(var_corr!AL31*10)</f>
        <v>0</v>
      </c>
      <c r="AM28">
        <f>INT(var_corr!AM31*10)</f>
        <v>0</v>
      </c>
      <c r="AN28">
        <f>INT(var_corr!AN31*10)</f>
        <v>0</v>
      </c>
      <c r="AO28">
        <f>INT(var_corr!AO31*10)</f>
        <v>0</v>
      </c>
      <c r="AP28">
        <f>INT(var_corr!AP31*10)</f>
        <v>0</v>
      </c>
    </row>
    <row r="29" spans="1:42" x14ac:dyDescent="0.15">
      <c r="A29" t="str">
        <f>var_corr!A32</f>
        <v>CORR</v>
      </c>
      <c r="B29" t="str">
        <f>var_corr!B32</f>
        <v>PAYFINE_woe</v>
      </c>
      <c r="C29">
        <f>INT(var_corr!C32*10)</f>
        <v>2</v>
      </c>
      <c r="D29">
        <f>INT(var_corr!D32*10)</f>
        <v>0</v>
      </c>
      <c r="E29">
        <f>INT(var_corr!E32*10)</f>
        <v>0</v>
      </c>
      <c r="F29">
        <f>INT(var_corr!F32*10)</f>
        <v>-1</v>
      </c>
      <c r="G29">
        <f>INT(var_corr!G32*10)</f>
        <v>0</v>
      </c>
      <c r="H29">
        <f>INT(var_corr!H32*10)</f>
        <v>0</v>
      </c>
      <c r="I29">
        <f>INT(var_corr!I32*10)</f>
        <v>-1</v>
      </c>
      <c r="J29">
        <f>INT(var_corr!J32*10)</f>
        <v>0</v>
      </c>
      <c r="K29">
        <f>INT(var_corr!K32*10)</f>
        <v>2</v>
      </c>
      <c r="L29">
        <f>INT(var_corr!L32*10)</f>
        <v>0</v>
      </c>
      <c r="M29">
        <f>INT(var_corr!M32*10)</f>
        <v>-1</v>
      </c>
      <c r="N29">
        <f>INT(var_corr!N32*10)</f>
        <v>-1</v>
      </c>
      <c r="O29">
        <f>INT(var_corr!O32*10)</f>
        <v>0</v>
      </c>
      <c r="P29">
        <f>INT(var_corr!P32*10)</f>
        <v>0</v>
      </c>
      <c r="Q29">
        <f>INT(var_corr!Q32*10)</f>
        <v>4</v>
      </c>
      <c r="R29">
        <f>INT(var_corr!R32*10)</f>
        <v>5</v>
      </c>
      <c r="S29">
        <f>INT(var_corr!S32*10)</f>
        <v>4</v>
      </c>
      <c r="T29">
        <f>INT(var_corr!T32*10)</f>
        <v>0</v>
      </c>
      <c r="U29">
        <f>INT(var_corr!U32*10)</f>
        <v>-2</v>
      </c>
      <c r="V29">
        <f>INT(var_corr!V32*10)</f>
        <v>-1</v>
      </c>
      <c r="W29">
        <f>INT(var_corr!W32*10)</f>
        <v>0</v>
      </c>
      <c r="X29">
        <f>INT(var_corr!X32*10)</f>
        <v>0</v>
      </c>
      <c r="Y29">
        <f>INT(var_corr!Y32*10)</f>
        <v>-2</v>
      </c>
      <c r="Z29">
        <f>INT(var_corr!Z32*10)</f>
        <v>2</v>
      </c>
      <c r="AA29">
        <f>INT(var_corr!AA32*10)</f>
        <v>0</v>
      </c>
      <c r="AB29">
        <f>INT(var_corr!AB32*10)</f>
        <v>1</v>
      </c>
      <c r="AC29">
        <f>INT(var_corr!AC32*10)</f>
        <v>2</v>
      </c>
      <c r="AD29">
        <f>INT(var_corr!AD32*10)</f>
        <v>10</v>
      </c>
      <c r="AE29">
        <f>INT(var_corr!AE32*10)</f>
        <v>1</v>
      </c>
      <c r="AF29">
        <f>INT(var_corr!AF32*10)</f>
        <v>7</v>
      </c>
      <c r="AG29">
        <f>INT(var_corr!AG32*10)</f>
        <v>5</v>
      </c>
      <c r="AH29">
        <f>INT(var_corr!AH32*10)</f>
        <v>-1</v>
      </c>
      <c r="AI29">
        <f>INT(var_corr!AI32*10)</f>
        <v>7</v>
      </c>
      <c r="AJ29">
        <f>INT(var_corr!AJ32*10)</f>
        <v>2</v>
      </c>
      <c r="AK29">
        <f>INT(var_corr!AK32*10)</f>
        <v>9</v>
      </c>
      <c r="AL29">
        <f>INT(var_corr!AL32*10)</f>
        <v>-2</v>
      </c>
      <c r="AM29">
        <f>INT(var_corr!AM32*10)</f>
        <v>0</v>
      </c>
      <c r="AN29">
        <f>INT(var_corr!AN32*10)</f>
        <v>-1</v>
      </c>
      <c r="AO29">
        <f>INT(var_corr!AO32*10)</f>
        <v>0</v>
      </c>
      <c r="AP29">
        <f>INT(var_corr!AP32*10)</f>
        <v>0</v>
      </c>
    </row>
    <row r="30" spans="1:42" x14ac:dyDescent="0.15">
      <c r="A30" t="str">
        <f>var_corr!A33</f>
        <v>CORR</v>
      </c>
      <c r="B30" t="str">
        <f>var_corr!B33</f>
        <v>CON1_DUE_TIMES_woe</v>
      </c>
      <c r="C30">
        <f>INT(var_corr!C33*10)</f>
        <v>0</v>
      </c>
      <c r="D30">
        <f>INT(var_corr!D33*10)</f>
        <v>1</v>
      </c>
      <c r="E30">
        <f>INT(var_corr!E33*10)</f>
        <v>0</v>
      </c>
      <c r="F30">
        <f>INT(var_corr!F33*10)</f>
        <v>1</v>
      </c>
      <c r="G30">
        <f>INT(var_corr!G33*10)</f>
        <v>0</v>
      </c>
      <c r="H30">
        <f>INT(var_corr!H33*10)</f>
        <v>-1</v>
      </c>
      <c r="I30">
        <f>INT(var_corr!I33*10)</f>
        <v>0</v>
      </c>
      <c r="J30">
        <f>INT(var_corr!J33*10)</f>
        <v>-1</v>
      </c>
      <c r="K30">
        <f>INT(var_corr!K33*10)</f>
        <v>0</v>
      </c>
      <c r="L30">
        <f>INT(var_corr!L33*10)</f>
        <v>0</v>
      </c>
      <c r="M30">
        <f>INT(var_corr!M33*10)</f>
        <v>0</v>
      </c>
      <c r="N30">
        <f>INT(var_corr!N33*10)</f>
        <v>-1</v>
      </c>
      <c r="O30">
        <f>INT(var_corr!O33*10)</f>
        <v>0</v>
      </c>
      <c r="P30">
        <f>INT(var_corr!P33*10)</f>
        <v>0</v>
      </c>
      <c r="Q30">
        <f>INT(var_corr!Q33*10)</f>
        <v>2</v>
      </c>
      <c r="R30">
        <f>INT(var_corr!R33*10)</f>
        <v>2</v>
      </c>
      <c r="S30">
        <f>INT(var_corr!S33*10)</f>
        <v>4</v>
      </c>
      <c r="T30">
        <f>INT(var_corr!T33*10)</f>
        <v>0</v>
      </c>
      <c r="U30">
        <f>INT(var_corr!U33*10)</f>
        <v>-3</v>
      </c>
      <c r="V30">
        <f>INT(var_corr!V33*10)</f>
        <v>-1</v>
      </c>
      <c r="W30">
        <f>INT(var_corr!W33*10)</f>
        <v>0</v>
      </c>
      <c r="X30">
        <f>INT(var_corr!X33*10)</f>
        <v>0</v>
      </c>
      <c r="Y30">
        <f>INT(var_corr!Y33*10)</f>
        <v>-1</v>
      </c>
      <c r="Z30">
        <f>INT(var_corr!Z33*10)</f>
        <v>4</v>
      </c>
      <c r="AA30">
        <f>INT(var_corr!AA33*10)</f>
        <v>0</v>
      </c>
      <c r="AB30">
        <f>INT(var_corr!AB33*10)</f>
        <v>0</v>
      </c>
      <c r="AC30">
        <f>INT(var_corr!AC33*10)</f>
        <v>0</v>
      </c>
      <c r="AD30">
        <f>INT(var_corr!AD33*10)</f>
        <v>1</v>
      </c>
      <c r="AE30">
        <f>INT(var_corr!AE33*10)</f>
        <v>10</v>
      </c>
      <c r="AF30">
        <f>INT(var_corr!AF33*10)</f>
        <v>1</v>
      </c>
      <c r="AG30">
        <f>INT(var_corr!AG33*10)</f>
        <v>1</v>
      </c>
      <c r="AH30">
        <f>INT(var_corr!AH33*10)</f>
        <v>0</v>
      </c>
      <c r="AI30">
        <f>INT(var_corr!AI33*10)</f>
        <v>3</v>
      </c>
      <c r="AJ30">
        <f>INT(var_corr!AJ33*10)</f>
        <v>0</v>
      </c>
      <c r="AK30">
        <f>INT(var_corr!AK33*10)</f>
        <v>1</v>
      </c>
      <c r="AL30">
        <f>INT(var_corr!AL33*10)</f>
        <v>-1</v>
      </c>
      <c r="AM30">
        <f>INT(var_corr!AM33*10)</f>
        <v>0</v>
      </c>
      <c r="AN30">
        <f>INT(var_corr!AN33*10)</f>
        <v>0</v>
      </c>
      <c r="AO30">
        <f>INT(var_corr!AO33*10)</f>
        <v>0</v>
      </c>
      <c r="AP30">
        <f>INT(var_corr!AP33*10)</f>
        <v>0</v>
      </c>
    </row>
  </sheetData>
  <autoFilter ref="A1:AS30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var_corr</vt:lpstr>
      <vt:lpstr>Sheet1</vt:lpstr>
      <vt:lpstr>var_corr</vt:lpstr>
    </vt:vector>
  </TitlesOfParts>
  <Company>SAS Institute Inc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 user</dc:creator>
  <cp:lastModifiedBy>李鹏远</cp:lastModifiedBy>
  <dcterms:created xsi:type="dcterms:W3CDTF">2011-02-11T15:45:55Z</dcterms:created>
  <dcterms:modified xsi:type="dcterms:W3CDTF">2017-08-31T07:38:08Z</dcterms:modified>
</cp:coreProperties>
</file>